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hidePivotFieldList="1"/>
  <mc:AlternateContent xmlns:mc="http://schemas.openxmlformats.org/markup-compatibility/2006">
    <mc:Choice Requires="x15">
      <x15ac:absPath xmlns:x15ac="http://schemas.microsoft.com/office/spreadsheetml/2010/11/ac" url="C:\Users\EMMANUEL\Downloads\INCUBATOR HUB\"/>
    </mc:Choice>
  </mc:AlternateContent>
  <xr:revisionPtr revIDLastSave="0" documentId="13_ncr:1_{CF353E77-67E9-462B-A3F8-E94C1DEBB376}" xr6:coauthVersionLast="47" xr6:coauthVersionMax="47" xr10:uidLastSave="{00000000-0000-0000-0000-000000000000}"/>
  <bookViews>
    <workbookView xWindow="-120" yWindow="-120" windowWidth="20730" windowHeight="11040" activeTab="3" xr2:uid="{00000000-000D-0000-FFFF-FFFF00000000}"/>
  </bookViews>
  <sheets>
    <sheet name="Cover" sheetId="3" r:id="rId1"/>
    <sheet name="Raw Data" sheetId="1" r:id="rId2"/>
    <sheet name="Analysis" sheetId="4" r:id="rId3"/>
    <sheet name="Dashboard" sheetId="5" r:id="rId4"/>
  </sheets>
  <definedNames>
    <definedName name="_xlnm._FilterDatabase" localSheetId="1" hidden="1">'Raw Data'!$A$1:$I$100</definedName>
    <definedName name="Slicer_Category">#N/A</definedName>
    <definedName name="Slicer_Region">#N/A</definedName>
    <definedName name="Slicer_Sales_Rep">#N/A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4" l="1"/>
  <c r="A13" i="4"/>
  <c r="G13" i="4"/>
  <c r="E13" i="4"/>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2" i="1"/>
</calcChain>
</file>

<file path=xl/sharedStrings.xml><?xml version="1.0" encoding="utf-8"?>
<sst xmlns="http://schemas.openxmlformats.org/spreadsheetml/2006/main" count="550" uniqueCount="60">
  <si>
    <t>Date</t>
  </si>
  <si>
    <t>Region</t>
  </si>
  <si>
    <t>Product</t>
  </si>
  <si>
    <t>Category</t>
  </si>
  <si>
    <t>Units Sold</t>
  </si>
  <si>
    <t>Unit Price</t>
  </si>
  <si>
    <t>Sales Rep</t>
  </si>
  <si>
    <t>Customer</t>
  </si>
  <si>
    <t>South</t>
  </si>
  <si>
    <t xml:space="preserve">Ifeanyi Okafor  </t>
  </si>
  <si>
    <t>Musa Enterprises</t>
  </si>
  <si>
    <t>Mobile</t>
  </si>
  <si>
    <t>West</t>
  </si>
  <si>
    <t>Alpha Retailers</t>
  </si>
  <si>
    <t>North</t>
  </si>
  <si>
    <t>Aisha Bello</t>
  </si>
  <si>
    <t>Omega Wholesale</t>
  </si>
  <si>
    <t>East</t>
  </si>
  <si>
    <t>Tablet T8</t>
  </si>
  <si>
    <t>Photography</t>
  </si>
  <si>
    <t>Chinedu Nwosu</t>
  </si>
  <si>
    <t>Laptop A15</t>
  </si>
  <si>
    <t>Computers</t>
  </si>
  <si>
    <t>Maryam Ltd</t>
  </si>
  <si>
    <t>Electronics</t>
  </si>
  <si>
    <t>Peter Obi</t>
  </si>
  <si>
    <t xml:space="preserve">Peripherals  </t>
  </si>
  <si>
    <t>Audio</t>
  </si>
  <si>
    <t>Femi Tech</t>
  </si>
  <si>
    <t>Fola Balogun</t>
  </si>
  <si>
    <t>Chika Mart</t>
  </si>
  <si>
    <t>Mary John</t>
  </si>
  <si>
    <t>Capstone project</t>
  </si>
  <si>
    <t>Praise Odunayo</t>
  </si>
  <si>
    <t>Job Austin</t>
  </si>
  <si>
    <t>Camera C100</t>
  </si>
  <si>
    <t>Monitor M24</t>
  </si>
  <si>
    <t>Speaker S10</t>
  </si>
  <si>
    <t>Tv 43Q</t>
  </si>
  <si>
    <t>Phone X12</t>
  </si>
  <si>
    <t>Grace Amos</t>
  </si>
  <si>
    <t>Adewale Stores</t>
  </si>
  <si>
    <t>Bright Solutions</t>
  </si>
  <si>
    <t>Emeka Traders</t>
  </si>
  <si>
    <t>Jide Superstores</t>
  </si>
  <si>
    <t>Kelvin Tech</t>
  </si>
  <si>
    <t>Tola Ventures</t>
  </si>
  <si>
    <t>Tope &amp; Sons</t>
  </si>
  <si>
    <t>Zainab Global</t>
  </si>
  <si>
    <t>Total Sales</t>
  </si>
  <si>
    <t>Row Labels</t>
  </si>
  <si>
    <t>Grand Total</t>
  </si>
  <si>
    <t>Sum of Total Sales</t>
  </si>
  <si>
    <t>Sum of Units Sold</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</si>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</sst>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yyyy\-mm\-dd;@"/>
    <numFmt numFmtId="168" formatCode="[$₦-470]#,##0.00"/>
    <numFmt numFmtId="170" formatCode="[$₦-470]#,##0"/>
    <numFmt numFmtId="172" formatCode="_(* #,##0_);_(* \(#,##0\);_(* &quot;-&quot;??_);_(@_)"/>
    <numFmt numFmtId="173" formatCode="[$₦-470]#,##0;\-[$₦-470]#,##0"/>
  </numFmts>
  <fonts count="7"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family val="2"/>
      <scheme val="minor"/>
    </font>
    <font>
      <b/>
      <sz val="12"/>
      <color theme="1"/>
      <name val="Calibri"/>
      <family val="2"/>
      <scheme val="minor"/>
    </font>
    <font>
      <b/>
      <sz val="12"/>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rgb="FF2D3653"/>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s>
  <cellStyleXfs count="2">
    <xf numFmtId="0" fontId="0" fillId="0" borderId="0"/>
    <xf numFmtId="43" fontId="4" fillId="0" borderId="0" applyFont="0" applyFill="0" applyBorder="0" applyAlignment="0" applyProtection="0"/>
  </cellStyleXfs>
  <cellXfs count="21">
    <xf numFmtId="0" fontId="0" fillId="0" borderId="0" xfId="0"/>
    <xf numFmtId="0" fontId="0" fillId="0" borderId="1" xfId="0" applyBorder="1"/>
    <xf numFmtId="0" fontId="1" fillId="2" borderId="1" xfId="0" applyFont="1" applyFill="1" applyBorder="1" applyAlignment="1">
      <alignment horizontal="center" vertical="top"/>
    </xf>
    <xf numFmtId="15" fontId="0" fillId="0" borderId="1" xfId="0" applyNumberFormat="1" applyBorder="1"/>
    <xf numFmtId="0" fontId="0" fillId="3" borderId="0" xfId="0" applyFill="1"/>
    <xf numFmtId="0" fontId="2" fillId="3" borderId="2" xfId="0" applyFont="1" applyFill="1" applyBorder="1"/>
    <xf numFmtId="0" fontId="3" fillId="3" borderId="2" xfId="0" applyFont="1" applyFill="1" applyBorder="1"/>
    <xf numFmtId="164" fontId="1" fillId="2" borderId="1" xfId="0" applyNumberFormat="1" applyFont="1" applyFill="1" applyBorder="1" applyAlignment="1">
      <alignment horizontal="center" vertical="top"/>
    </xf>
    <xf numFmtId="164" fontId="0" fillId="0" borderId="1" xfId="0" applyNumberFormat="1" applyBorder="1"/>
    <xf numFmtId="164" fontId="0" fillId="0" borderId="0" xfId="0" applyNumberFormat="1"/>
    <xf numFmtId="168" fontId="0" fillId="0" borderId="0" xfId="0" applyNumberFormat="1"/>
    <xf numFmtId="0" fontId="5" fillId="0" borderId="0" xfId="0" applyFont="1"/>
    <xf numFmtId="0" fontId="0" fillId="0" borderId="0" xfId="0" pivotButton="1"/>
    <xf numFmtId="0" fontId="0" fillId="0" borderId="0" xfId="0" applyAlignment="1">
      <alignment horizontal="left"/>
    </xf>
    <xf numFmtId="0" fontId="0" fillId="4" borderId="0" xfId="0" applyFill="1"/>
    <xf numFmtId="10" fontId="0" fillId="0" borderId="0" xfId="0" applyNumberFormat="1"/>
    <xf numFmtId="168" fontId="1" fillId="2" borderId="1" xfId="0" applyNumberFormat="1" applyFont="1" applyFill="1" applyBorder="1" applyAlignment="1">
      <alignment horizontal="center" vertical="top"/>
    </xf>
    <xf numFmtId="168" fontId="0" fillId="0" borderId="1" xfId="0" applyNumberFormat="1" applyBorder="1"/>
    <xf numFmtId="172" fontId="5" fillId="0" borderId="0" xfId="1" applyNumberFormat="1" applyFont="1"/>
    <xf numFmtId="173" fontId="5" fillId="0" borderId="0" xfId="1" applyNumberFormat="1" applyFont="1"/>
    <xf numFmtId="170" fontId="6" fillId="0" borderId="0" xfId="0" applyNumberFormat="1" applyFont="1"/>
  </cellXfs>
  <cellStyles count="2">
    <cellStyle name="Comma" xfId="1" builtinId="3"/>
    <cellStyle name="Normal" xfId="0" builtinId="0"/>
  </cellStyles>
  <dxfs count="11">
    <dxf>
      <fill>
        <patternFill>
          <fgColor rgb="FF2D3653"/>
          <bgColor rgb="FF2D3653"/>
        </patternFill>
      </fill>
    </dxf>
    <dxf>
      <font>
        <name val="Comic Sans MS"/>
        <family val="4"/>
        <scheme val="none"/>
      </font>
      <fill>
        <patternFill>
          <bgColor rgb="FF2D3653"/>
        </patternFill>
      </fill>
    </dxf>
    <dxf>
      <font>
        <color theme="5" tint="-0.24994659260841701"/>
      </font>
      <fill>
        <patternFill>
          <bgColor rgb="FF7030A0"/>
        </patternFill>
      </fill>
    </dxf>
    <dxf>
      <font>
        <name val="Aptos"/>
        <family val="2"/>
        <scheme val="none"/>
      </font>
    </dxf>
    <dxf>
      <numFmt numFmtId="14" formatCode="0.00%"/>
    </dxf>
    <dxf>
      <numFmt numFmtId="14" formatCode="0.00%"/>
    </dxf>
    <dxf>
      <numFmt numFmtId="168" formatCode="[$₦-470]#,##0.00"/>
    </dxf>
    <dxf>
      <numFmt numFmtId="168" formatCode="[$₦-470]#,##0.00"/>
    </dxf>
    <dxf>
      <numFmt numFmtId="168" formatCode="[$₦-470]#,##0.00"/>
    </dxf>
    <dxf>
      <numFmt numFmtId="168" formatCode="[$₦-470]#,##0.00"/>
    </dxf>
    <dxf>
      <numFmt numFmtId="168" formatCode="[$₦-470]#,##0.00"/>
    </dxf>
  </dxfs>
  <tableStyles count="6" defaultTableStyle="TableStyleMedium9" defaultPivotStyle="PivotStyleLight16">
    <tableStyle name="Slicer Style 1" pivot="0" table="0" count="1" xr9:uid="{B9092BCB-9481-4996-AA0B-EEEDF549773A}">
      <tableStyleElement type="wholeTable" dxfId="3"/>
    </tableStyle>
    <tableStyle name="Slicer Style 2" pivot="0" table="0" count="1" xr9:uid="{D7EA04EB-F216-41B7-936D-B0A24133E1E1}"/>
    <tableStyle name="Slicer Style 3" pivot="0" table="0" count="1" xr9:uid="{64A975D9-68EA-4922-8E8D-63A04425E351}"/>
    <tableStyle name="Slicer Style 4" pivot="0" table="0" count="1" xr9:uid="{57D0BDDD-DF26-483F-8ABD-AF4138516A26}">
      <tableStyleElement type="wholeTable" dxfId="2"/>
    </tableStyle>
    <tableStyle name="Slicer Style 5" pivot="0" table="0" count="2" xr9:uid="{D4BCA559-946A-475A-8015-3B8EBF2433F9}">
      <tableStyleElement type="wholeTable" dxfId="1"/>
    </tableStyle>
    <tableStyle name="Slicer Style 6" pivot="0" table="0" count="3" xr9:uid="{2520121D-141D-4541-9E66-EA4E7323328C}">
      <tableStyleElement type="wholeTable" dxfId="0"/>
    </tableStyle>
  </tableStyles>
  <colors>
    <mruColors>
      <color rgb="FFD7D7D7"/>
      <color rgb="FF828DE6"/>
      <color rgb="FF2D3653"/>
      <color rgb="FF889DE0"/>
      <color rgb="FF58324A"/>
      <color rgb="FF3E2434"/>
    </mruColors>
  </colors>
  <extLst>
    <ext xmlns:x14="http://schemas.microsoft.com/office/spreadsheetml/2009/9/main" uri="{46F421CA-312F-682f-3DD2-61675219B42D}">
      <x14:dxfs count="5">
        <dxf>
          <font>
            <color theme="1"/>
          </font>
          <fill>
            <patternFill>
              <bgColor rgb="FFD7D7D7"/>
            </patternFill>
          </fill>
        </dxf>
        <dxf>
          <font>
            <color theme="0"/>
            <name val="Comic Sans MS"/>
            <family val="4"/>
            <scheme val="none"/>
          </font>
          <fill>
            <patternFill>
              <fgColor rgb="FF828DE6"/>
              <bgColor rgb="FF828DE6"/>
            </patternFill>
          </fill>
        </dxf>
        <dxf>
          <font>
            <color theme="1"/>
          </font>
          <fill>
            <patternFill>
              <fgColor rgb="FF828DE6"/>
            </patternFill>
          </fill>
        </dxf>
        <dxf>
          <font>
            <color rgb="FF889DE0"/>
          </font>
        </dxf>
        <dxf>
          <font>
            <color rgb="FF828DE6"/>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4"/>
          </x14:slicerStyleElements>
        </x14:slicerStyle>
        <x14:slicerStyle name="Slicer Style 3">
          <x14:slicerStyleElements>
            <x14:slicerStyleElement type="unselectedItemWithData" dxfId="3"/>
          </x14:slicerStyleElements>
        </x14:slicerStyle>
        <x14:slicerStyle name="Slicer Style 4"/>
        <x14:slicerStyle name="Slicer Style 5">
          <x14:slicerStyleElements>
            <x14:slicerStyleElement type="selectedItemWithData" dxfId="2"/>
          </x14:slicerStyleElements>
        </x14:slicerStyle>
        <x14:slicerStyle name="Slicer Style 6">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Project.xlsx]Analysis!Revenue by Region</c:name>
    <c:fmtId val="2"/>
  </c:pivotSource>
  <c:chart>
    <c:autoTitleDeleted val="1"/>
    <c:pivotFmts>
      <c:pivotFmt>
        <c:idx val="0"/>
        <c:spPr>
          <a:solidFill>
            <a:srgbClr val="828D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28D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28DE6"/>
          </a:solidFill>
          <a:ln w="9525" cap="rnd">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69486096630938E-2"/>
          <c:y val="0"/>
          <c:w val="0.98305085650561497"/>
          <c:h val="0.84341145592095101"/>
        </c:manualLayout>
      </c:layout>
      <c:barChart>
        <c:barDir val="col"/>
        <c:grouping val="clustered"/>
        <c:varyColors val="0"/>
        <c:ser>
          <c:idx val="0"/>
          <c:order val="0"/>
          <c:tx>
            <c:strRef>
              <c:f>Analysis!$B$2</c:f>
              <c:strCache>
                <c:ptCount val="1"/>
                <c:pt idx="0">
                  <c:v>Total</c:v>
                </c:pt>
              </c:strCache>
            </c:strRef>
          </c:tx>
          <c:spPr>
            <a:solidFill>
              <a:srgbClr val="828DE6"/>
            </a:solidFill>
            <a:ln w="9525" cap="rnd">
              <a:solidFill>
                <a:schemeClr val="bg1">
                  <a:lumMod val="6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Analysis!$A$3:$A$7</c:f>
              <c:strCache>
                <c:ptCount val="4"/>
                <c:pt idx="0">
                  <c:v>East</c:v>
                </c:pt>
                <c:pt idx="1">
                  <c:v>North</c:v>
                </c:pt>
                <c:pt idx="2">
                  <c:v>South</c:v>
                </c:pt>
                <c:pt idx="3">
                  <c:v>West</c:v>
                </c:pt>
              </c:strCache>
            </c:strRef>
          </c:cat>
          <c:val>
            <c:numRef>
              <c:f>Analysis!$B$3:$B$7</c:f>
              <c:numCache>
                <c:formatCode>0.00%</c:formatCode>
                <c:ptCount val="4"/>
                <c:pt idx="0">
                  <c:v>0.26112764228122765</c:v>
                </c:pt>
                <c:pt idx="1">
                  <c:v>0.13074840849239552</c:v>
                </c:pt>
                <c:pt idx="2">
                  <c:v>0.22557149826402434</c:v>
                </c:pt>
                <c:pt idx="3">
                  <c:v>0.38255245096235246</c:v>
                </c:pt>
              </c:numCache>
            </c:numRef>
          </c:val>
          <c:extLst>
            <c:ext xmlns:c16="http://schemas.microsoft.com/office/drawing/2014/chart" uri="{C3380CC4-5D6E-409C-BE32-E72D297353CC}">
              <c16:uniqueId val="{00000000-7DEC-44C6-9649-9C2FC1C46C24}"/>
            </c:ext>
          </c:extLst>
        </c:ser>
        <c:dLbls>
          <c:showLegendKey val="0"/>
          <c:showVal val="0"/>
          <c:showCatName val="0"/>
          <c:showSerName val="0"/>
          <c:showPercent val="0"/>
          <c:showBubbleSize val="0"/>
        </c:dLbls>
        <c:gapWidth val="219"/>
        <c:overlap val="-27"/>
        <c:axId val="1703243072"/>
        <c:axId val="1703243552"/>
      </c:barChart>
      <c:catAx>
        <c:axId val="1703243072"/>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Aptos" panose="020B0004020202020204" pitchFamily="34" charset="0"/>
                <a:ea typeface="+mn-ea"/>
                <a:cs typeface="+mn-cs"/>
              </a:defRPr>
            </a:pPr>
            <a:endParaRPr lang="en-US"/>
          </a:p>
        </c:txPr>
        <c:crossAx val="1703243552"/>
        <c:crosses val="autoZero"/>
        <c:auto val="1"/>
        <c:lblAlgn val="ctr"/>
        <c:lblOffset val="100"/>
        <c:noMultiLvlLbl val="0"/>
      </c:catAx>
      <c:valAx>
        <c:axId val="1703243552"/>
        <c:scaling>
          <c:orientation val="minMax"/>
        </c:scaling>
        <c:delete val="1"/>
        <c:axPos val="l"/>
        <c:numFmt formatCode="0.00%" sourceLinked="1"/>
        <c:majorTickMark val="out"/>
        <c:minorTickMark val="none"/>
        <c:tickLblPos val="nextTo"/>
        <c:crossAx val="170324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Project.xlsx]Analysis!Revenue by Product</c:name>
    <c:fmtId val="3"/>
  </c:pivotSource>
  <c:chart>
    <c:autoTitleDeleted val="1"/>
    <c:pivotFmts>
      <c:pivotFmt>
        <c:idx val="0"/>
        <c:spPr>
          <a:solidFill>
            <a:srgbClr val="828D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28D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28D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28D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28DE6"/>
          </a:solidFill>
          <a:ln w="9525" cap="rnd">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2560992534092"/>
          <c:y val="3.2876705236391926E-2"/>
          <c:w val="0.78347439007465913"/>
          <c:h val="0.9506849421454121"/>
        </c:manualLayout>
      </c:layout>
      <c:barChart>
        <c:barDir val="bar"/>
        <c:grouping val="clustered"/>
        <c:varyColors val="0"/>
        <c:ser>
          <c:idx val="0"/>
          <c:order val="0"/>
          <c:tx>
            <c:strRef>
              <c:f>Analysis!$E$2</c:f>
              <c:strCache>
                <c:ptCount val="1"/>
                <c:pt idx="0">
                  <c:v>Total</c:v>
                </c:pt>
              </c:strCache>
            </c:strRef>
          </c:tx>
          <c:spPr>
            <a:solidFill>
              <a:srgbClr val="828DE6"/>
            </a:solidFill>
            <a:ln w="9525" cap="rnd">
              <a:solidFill>
                <a:schemeClr val="bg1">
                  <a:lumMod val="6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Analysis!$D$3:$D$8</c:f>
              <c:strCache>
                <c:ptCount val="5"/>
                <c:pt idx="0">
                  <c:v>Monitor M24</c:v>
                </c:pt>
                <c:pt idx="1">
                  <c:v>Camera C100</c:v>
                </c:pt>
                <c:pt idx="2">
                  <c:v>Tablet T8</c:v>
                </c:pt>
                <c:pt idx="3">
                  <c:v>Tv 43Q</c:v>
                </c:pt>
                <c:pt idx="4">
                  <c:v>Laptop A15</c:v>
                </c:pt>
              </c:strCache>
            </c:strRef>
          </c:cat>
          <c:val>
            <c:numRef>
              <c:f>Analysis!$E$3:$E$8</c:f>
              <c:numCache>
                <c:formatCode>0.00%</c:formatCode>
                <c:ptCount val="5"/>
                <c:pt idx="0">
                  <c:v>7.616360391367584E-2</c:v>
                </c:pt>
                <c:pt idx="1">
                  <c:v>9.166093528716085E-2</c:v>
                </c:pt>
                <c:pt idx="2">
                  <c:v>0.12161666169216254</c:v>
                </c:pt>
                <c:pt idx="3">
                  <c:v>0.22848685471513233</c:v>
                </c:pt>
                <c:pt idx="4">
                  <c:v>0.48207194439186846</c:v>
                </c:pt>
              </c:numCache>
            </c:numRef>
          </c:val>
          <c:extLst>
            <c:ext xmlns:c16="http://schemas.microsoft.com/office/drawing/2014/chart" uri="{C3380CC4-5D6E-409C-BE32-E72D297353CC}">
              <c16:uniqueId val="{00000003-BF12-46BF-954D-E3BF767D1FB6}"/>
            </c:ext>
          </c:extLst>
        </c:ser>
        <c:dLbls>
          <c:dLblPos val="outEnd"/>
          <c:showLegendKey val="0"/>
          <c:showVal val="1"/>
          <c:showCatName val="0"/>
          <c:showSerName val="0"/>
          <c:showPercent val="0"/>
          <c:showBubbleSize val="0"/>
        </c:dLbls>
        <c:gapWidth val="182"/>
        <c:axId val="1449706272"/>
        <c:axId val="1449721632"/>
      </c:barChart>
      <c:catAx>
        <c:axId val="1449706272"/>
        <c:scaling>
          <c:orientation val="minMax"/>
        </c:scaling>
        <c:delete val="0"/>
        <c:axPos val="l"/>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Aptos" panose="020B0004020202020204" pitchFamily="34" charset="0"/>
                <a:ea typeface="+mn-ea"/>
                <a:cs typeface="+mn-cs"/>
              </a:defRPr>
            </a:pPr>
            <a:endParaRPr lang="en-US"/>
          </a:p>
        </c:txPr>
        <c:crossAx val="1449721632"/>
        <c:crosses val="autoZero"/>
        <c:auto val="1"/>
        <c:lblAlgn val="ctr"/>
        <c:lblOffset val="100"/>
        <c:noMultiLvlLbl val="0"/>
      </c:catAx>
      <c:valAx>
        <c:axId val="1449721632"/>
        <c:scaling>
          <c:orientation val="minMax"/>
        </c:scaling>
        <c:delete val="1"/>
        <c:axPos val="b"/>
        <c:numFmt formatCode="0.00%" sourceLinked="1"/>
        <c:majorTickMark val="none"/>
        <c:minorTickMark val="none"/>
        <c:tickLblPos val="nextTo"/>
        <c:crossAx val="144970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Project.xlsx]Analysis!Sales Trend by Month</c:name>
    <c:fmtId val="3"/>
  </c:pivotSource>
  <c:chart>
    <c:autoTitleDeleted val="1"/>
    <c:pivotFmts>
      <c:pivotFmt>
        <c:idx val="0"/>
        <c:spPr>
          <a:solidFill>
            <a:schemeClr val="accent1"/>
          </a:solidFill>
          <a:ln w="28575" cap="rnd">
            <a:solidFill>
              <a:srgbClr val="828DE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28DE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828DE6"/>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483148453180297E-2"/>
          <c:y val="0"/>
          <c:w val="0.97640449020693465"/>
          <c:h val="0.8532116268169283"/>
        </c:manualLayout>
      </c:layout>
      <c:lineChart>
        <c:grouping val="standard"/>
        <c:varyColors val="0"/>
        <c:ser>
          <c:idx val="0"/>
          <c:order val="0"/>
          <c:tx>
            <c:strRef>
              <c:f>Analysis!$K$2</c:f>
              <c:strCache>
                <c:ptCount val="1"/>
                <c:pt idx="0">
                  <c:v>Total</c:v>
                </c:pt>
              </c:strCache>
            </c:strRef>
          </c:tx>
          <c:spPr>
            <a:ln w="28575" cap="rnd">
              <a:solidFill>
                <a:srgbClr val="828DE6"/>
              </a:solidFill>
              <a:round/>
            </a:ln>
            <a:effectLst>
              <a:softEdge rad="0"/>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Analysis!$J$3:$J$9</c:f>
              <c:strCache>
                <c:ptCount val="6"/>
                <c:pt idx="0">
                  <c:v>Jan</c:v>
                </c:pt>
                <c:pt idx="1">
                  <c:v>Feb</c:v>
                </c:pt>
                <c:pt idx="2">
                  <c:v>Mar</c:v>
                </c:pt>
                <c:pt idx="3">
                  <c:v>Apr</c:v>
                </c:pt>
                <c:pt idx="4">
                  <c:v>May</c:v>
                </c:pt>
                <c:pt idx="5">
                  <c:v>Jun</c:v>
                </c:pt>
              </c:strCache>
            </c:strRef>
          </c:cat>
          <c:val>
            <c:numRef>
              <c:f>Analysis!$K$3:$K$9</c:f>
              <c:numCache>
                <c:formatCode>0.00%</c:formatCode>
                <c:ptCount val="6"/>
                <c:pt idx="0">
                  <c:v>0.18939433738211392</c:v>
                </c:pt>
                <c:pt idx="1">
                  <c:v>0.41149689727471017</c:v>
                </c:pt>
                <c:pt idx="2">
                  <c:v>6.247714530897705E-2</c:v>
                </c:pt>
                <c:pt idx="3">
                  <c:v>8.0438910719745488E-2</c:v>
                </c:pt>
                <c:pt idx="4">
                  <c:v>0.10547318499630062</c:v>
                </c:pt>
                <c:pt idx="5">
                  <c:v>0.15071952431815275</c:v>
                </c:pt>
              </c:numCache>
            </c:numRef>
          </c:val>
          <c:smooth val="1"/>
          <c:extLst>
            <c:ext xmlns:c16="http://schemas.microsoft.com/office/drawing/2014/chart" uri="{C3380CC4-5D6E-409C-BE32-E72D297353CC}">
              <c16:uniqueId val="{00000000-4ECC-452A-8C13-1D3B94152A43}"/>
            </c:ext>
          </c:extLst>
        </c:ser>
        <c:dLbls>
          <c:dLblPos val="t"/>
          <c:showLegendKey val="0"/>
          <c:showVal val="1"/>
          <c:showCatName val="0"/>
          <c:showSerName val="0"/>
          <c:showPercent val="0"/>
          <c:showBubbleSize val="0"/>
        </c:dLbls>
        <c:smooth val="0"/>
        <c:axId val="1924223712"/>
        <c:axId val="1924216992"/>
      </c:lineChart>
      <c:catAx>
        <c:axId val="1924223712"/>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Aptos" panose="020B0004020202020204" pitchFamily="34" charset="0"/>
                <a:ea typeface="+mn-ea"/>
                <a:cs typeface="+mn-cs"/>
              </a:defRPr>
            </a:pPr>
            <a:endParaRPr lang="en-US"/>
          </a:p>
        </c:txPr>
        <c:crossAx val="1924216992"/>
        <c:crosses val="autoZero"/>
        <c:auto val="1"/>
        <c:lblAlgn val="ctr"/>
        <c:lblOffset val="100"/>
        <c:noMultiLvlLbl val="0"/>
      </c:catAx>
      <c:valAx>
        <c:axId val="1924216992"/>
        <c:scaling>
          <c:orientation val="minMax"/>
        </c:scaling>
        <c:delete val="1"/>
        <c:axPos val="l"/>
        <c:numFmt formatCode="0.00%" sourceLinked="1"/>
        <c:majorTickMark val="none"/>
        <c:minorTickMark val="none"/>
        <c:tickLblPos val="nextTo"/>
        <c:crossAx val="192422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Project.xlsx]Analysis!Revenue by Category</c:name>
    <c:fmtId val="3"/>
  </c:pivotSource>
  <c:chart>
    <c:autoTitleDeleted val="1"/>
    <c:pivotFmts>
      <c:pivotFmt>
        <c:idx val="0"/>
        <c:spPr>
          <a:solidFill>
            <a:srgbClr val="828DE6"/>
          </a:solidFill>
          <a:ln w="19050">
            <a:solidFill>
              <a:schemeClr val="lt1"/>
            </a:solidFill>
          </a:ln>
          <a:effectLst/>
        </c:spPr>
        <c:marker>
          <c:symbol val="none"/>
        </c:marker>
        <c:dLbl>
          <c:idx val="0"/>
          <c:spPr>
            <a:solidFill>
              <a:schemeClr val="bg1">
                <a:lumMod val="95000"/>
              </a:schemeClr>
            </a:solidFill>
            <a:ln>
              <a:noFill/>
            </a:ln>
            <a:effectLst>
              <a:softEdge rad="25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28DE6"/>
          </a:solidFill>
          <a:ln w="19050">
            <a:solidFill>
              <a:schemeClr val="lt1"/>
            </a:solidFill>
          </a:ln>
          <a:effectLst/>
        </c:spPr>
        <c:marker>
          <c:symbol val="none"/>
        </c:marker>
        <c:dLbl>
          <c:idx val="0"/>
          <c:spPr>
            <a:solidFill>
              <a:schemeClr val="bg1">
                <a:lumMod val="95000"/>
              </a:schemeClr>
            </a:solidFill>
            <a:ln>
              <a:noFill/>
            </a:ln>
            <a:effectLst>
              <a:softEdge rad="25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28DE6"/>
          </a:solidFill>
          <a:ln w="19050">
            <a:solidFill>
              <a:schemeClr val="lt1"/>
            </a:solidFill>
          </a:ln>
          <a:effectLst/>
        </c:spPr>
      </c:pivotFmt>
      <c:pivotFmt>
        <c:idx val="3"/>
        <c:spPr>
          <a:solidFill>
            <a:srgbClr val="828DE6"/>
          </a:solidFill>
          <a:ln w="19050">
            <a:solidFill>
              <a:schemeClr val="lt1"/>
            </a:solidFill>
          </a:ln>
          <a:effectLst/>
        </c:spPr>
      </c:pivotFmt>
      <c:pivotFmt>
        <c:idx val="4"/>
        <c:spPr>
          <a:solidFill>
            <a:srgbClr val="828DE6"/>
          </a:solidFill>
          <a:ln w="19050">
            <a:solidFill>
              <a:schemeClr val="lt1"/>
            </a:solidFill>
          </a:ln>
          <a:effectLst/>
        </c:spPr>
      </c:pivotFmt>
      <c:pivotFmt>
        <c:idx val="5"/>
        <c:spPr>
          <a:solidFill>
            <a:srgbClr val="828DE6"/>
          </a:solidFill>
          <a:ln w="19050">
            <a:solidFill>
              <a:schemeClr val="lt1"/>
            </a:solidFill>
          </a:ln>
          <a:effectLst/>
        </c:spPr>
      </c:pivotFmt>
      <c:pivotFmt>
        <c:idx val="6"/>
        <c:spPr>
          <a:solidFill>
            <a:srgbClr val="828DE6"/>
          </a:solidFill>
          <a:ln w="19050">
            <a:solidFill>
              <a:schemeClr val="lt1"/>
            </a:solidFill>
          </a:ln>
          <a:effectLst/>
        </c:spPr>
      </c:pivotFmt>
      <c:pivotFmt>
        <c:idx val="7"/>
        <c:spPr>
          <a:solidFill>
            <a:srgbClr val="828DE6"/>
          </a:solidFill>
          <a:ln w="19050">
            <a:solidFill>
              <a:schemeClr val="lt1"/>
            </a:solidFill>
          </a:ln>
          <a:effectLst/>
        </c:spPr>
      </c:pivotFmt>
      <c:pivotFmt>
        <c:idx val="8"/>
        <c:spPr>
          <a:solidFill>
            <a:srgbClr val="828DE6"/>
          </a:solidFill>
          <a:ln w="9525" cap="rnd">
            <a:solidFill>
              <a:schemeClr val="bg1">
                <a:lumMod val="65000"/>
              </a:schemeClr>
            </a:solidFill>
            <a:prstDash val="solid"/>
          </a:ln>
          <a:effectLst/>
        </c:spPr>
        <c:marker>
          <c:symbol val="none"/>
        </c:marker>
        <c:dLbl>
          <c:idx val="0"/>
          <c:spPr>
            <a:noFill/>
            <a:ln>
              <a:noFill/>
            </a:ln>
            <a:effectLst>
              <a:softEdge rad="254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28DE6"/>
          </a:solidFill>
          <a:ln w="9525" cap="rnd">
            <a:solidFill>
              <a:schemeClr val="bg1">
                <a:lumMod val="65000"/>
              </a:schemeClr>
            </a:solidFill>
            <a:prstDash val="solid"/>
          </a:ln>
          <a:effectLst/>
        </c:spPr>
      </c:pivotFmt>
      <c:pivotFmt>
        <c:idx val="10"/>
        <c:spPr>
          <a:solidFill>
            <a:srgbClr val="828DE6"/>
          </a:solidFill>
          <a:ln w="9525" cap="rnd">
            <a:solidFill>
              <a:schemeClr val="bg1">
                <a:lumMod val="65000"/>
              </a:schemeClr>
            </a:solidFill>
            <a:prstDash val="solid"/>
          </a:ln>
          <a:effectLst/>
        </c:spPr>
      </c:pivotFmt>
      <c:pivotFmt>
        <c:idx val="11"/>
        <c:spPr>
          <a:solidFill>
            <a:srgbClr val="828DE6"/>
          </a:solidFill>
          <a:ln w="9525" cap="rnd">
            <a:solidFill>
              <a:schemeClr val="bg1">
                <a:lumMod val="65000"/>
              </a:schemeClr>
            </a:solidFill>
            <a:prstDash val="solid"/>
          </a:ln>
          <a:effectLst/>
        </c:spPr>
      </c:pivotFmt>
      <c:pivotFmt>
        <c:idx val="12"/>
        <c:spPr>
          <a:solidFill>
            <a:srgbClr val="828DE6"/>
          </a:solidFill>
          <a:ln w="9525" cap="rnd">
            <a:solidFill>
              <a:schemeClr val="bg1">
                <a:lumMod val="65000"/>
              </a:schemeClr>
            </a:solidFill>
            <a:prstDash val="solid"/>
          </a:ln>
          <a:effectLst/>
        </c:spPr>
      </c:pivotFmt>
      <c:pivotFmt>
        <c:idx val="13"/>
        <c:spPr>
          <a:solidFill>
            <a:srgbClr val="828DE6"/>
          </a:solidFill>
          <a:ln w="9525" cap="rnd">
            <a:solidFill>
              <a:schemeClr val="bg1">
                <a:lumMod val="65000"/>
              </a:schemeClr>
            </a:solidFill>
            <a:prstDash val="solid"/>
          </a:ln>
          <a:effectLst/>
        </c:spPr>
      </c:pivotFmt>
      <c:pivotFmt>
        <c:idx val="14"/>
        <c:spPr>
          <a:solidFill>
            <a:srgbClr val="828DE6"/>
          </a:solidFill>
          <a:ln w="9525" cap="rnd">
            <a:solidFill>
              <a:schemeClr val="bg1">
                <a:lumMod val="65000"/>
              </a:schemeClr>
            </a:solidFill>
            <a:prstDash val="solid"/>
          </a:ln>
          <a:effectLst/>
        </c:spPr>
      </c:pivotFmt>
    </c:pivotFmts>
    <c:plotArea>
      <c:layout>
        <c:manualLayout>
          <c:layoutTarget val="inner"/>
          <c:xMode val="edge"/>
          <c:yMode val="edge"/>
          <c:x val="0.22682493166229384"/>
          <c:y val="7.8947401138583145E-2"/>
          <c:w val="0.77317506833770611"/>
          <c:h val="0.88947363840598359"/>
        </c:manualLayout>
      </c:layout>
      <c:barChart>
        <c:barDir val="bar"/>
        <c:grouping val="clustered"/>
        <c:varyColors val="0"/>
        <c:ser>
          <c:idx val="0"/>
          <c:order val="0"/>
          <c:tx>
            <c:strRef>
              <c:f>Analysis!$H$2</c:f>
              <c:strCache>
                <c:ptCount val="1"/>
                <c:pt idx="0">
                  <c:v>Total</c:v>
                </c:pt>
              </c:strCache>
            </c:strRef>
          </c:tx>
          <c:spPr>
            <a:solidFill>
              <a:srgbClr val="828DE6"/>
            </a:solidFill>
            <a:ln w="9525" cap="rnd">
              <a:solidFill>
                <a:schemeClr val="bg1">
                  <a:lumMod val="65000"/>
                </a:schemeClr>
              </a:solidFill>
              <a:prstDash val="solid"/>
            </a:ln>
            <a:effectLst/>
          </c:spPr>
          <c:invertIfNegative val="0"/>
          <c:dPt>
            <c:idx val="0"/>
            <c:invertIfNegative val="0"/>
            <c:bubble3D val="0"/>
            <c:spPr>
              <a:solidFill>
                <a:srgbClr val="828DE6"/>
              </a:solidFill>
              <a:ln w="9525" cap="rnd">
                <a:solidFill>
                  <a:schemeClr val="bg1">
                    <a:lumMod val="65000"/>
                  </a:schemeClr>
                </a:solidFill>
                <a:prstDash val="solid"/>
              </a:ln>
              <a:effectLst/>
            </c:spPr>
            <c:extLst>
              <c:ext xmlns:c16="http://schemas.microsoft.com/office/drawing/2014/chart" uri="{C3380CC4-5D6E-409C-BE32-E72D297353CC}">
                <c16:uniqueId val="{00000001-1DB6-48E8-B3DA-9E9019ABDAA7}"/>
              </c:ext>
            </c:extLst>
          </c:dPt>
          <c:dPt>
            <c:idx val="1"/>
            <c:invertIfNegative val="0"/>
            <c:bubble3D val="0"/>
            <c:spPr>
              <a:solidFill>
                <a:srgbClr val="828DE6"/>
              </a:solidFill>
              <a:ln w="9525" cap="rnd">
                <a:solidFill>
                  <a:schemeClr val="bg1">
                    <a:lumMod val="65000"/>
                  </a:schemeClr>
                </a:solidFill>
                <a:prstDash val="solid"/>
              </a:ln>
              <a:effectLst/>
            </c:spPr>
            <c:extLst>
              <c:ext xmlns:c16="http://schemas.microsoft.com/office/drawing/2014/chart" uri="{C3380CC4-5D6E-409C-BE32-E72D297353CC}">
                <c16:uniqueId val="{00000003-1DB6-48E8-B3DA-9E9019ABDAA7}"/>
              </c:ext>
            </c:extLst>
          </c:dPt>
          <c:dPt>
            <c:idx val="2"/>
            <c:invertIfNegative val="0"/>
            <c:bubble3D val="0"/>
            <c:spPr>
              <a:solidFill>
                <a:srgbClr val="828DE6"/>
              </a:solidFill>
              <a:ln w="9525" cap="rnd">
                <a:solidFill>
                  <a:schemeClr val="bg1">
                    <a:lumMod val="65000"/>
                  </a:schemeClr>
                </a:solidFill>
                <a:prstDash val="solid"/>
              </a:ln>
              <a:effectLst/>
            </c:spPr>
            <c:extLst>
              <c:ext xmlns:c16="http://schemas.microsoft.com/office/drawing/2014/chart" uri="{C3380CC4-5D6E-409C-BE32-E72D297353CC}">
                <c16:uniqueId val="{00000005-1DB6-48E8-B3DA-9E9019ABDAA7}"/>
              </c:ext>
            </c:extLst>
          </c:dPt>
          <c:dPt>
            <c:idx val="3"/>
            <c:invertIfNegative val="0"/>
            <c:bubble3D val="0"/>
            <c:spPr>
              <a:solidFill>
                <a:srgbClr val="828DE6"/>
              </a:solidFill>
              <a:ln w="9525" cap="rnd">
                <a:solidFill>
                  <a:schemeClr val="bg1">
                    <a:lumMod val="65000"/>
                  </a:schemeClr>
                </a:solidFill>
                <a:prstDash val="solid"/>
              </a:ln>
              <a:effectLst/>
            </c:spPr>
            <c:extLst>
              <c:ext xmlns:c16="http://schemas.microsoft.com/office/drawing/2014/chart" uri="{C3380CC4-5D6E-409C-BE32-E72D297353CC}">
                <c16:uniqueId val="{00000007-1DB6-48E8-B3DA-9E9019ABDAA7}"/>
              </c:ext>
            </c:extLst>
          </c:dPt>
          <c:dPt>
            <c:idx val="4"/>
            <c:invertIfNegative val="0"/>
            <c:bubble3D val="0"/>
            <c:spPr>
              <a:solidFill>
                <a:srgbClr val="828DE6"/>
              </a:solidFill>
              <a:ln w="9525" cap="rnd">
                <a:solidFill>
                  <a:schemeClr val="bg1">
                    <a:lumMod val="65000"/>
                  </a:schemeClr>
                </a:solidFill>
                <a:prstDash val="solid"/>
              </a:ln>
              <a:effectLst/>
            </c:spPr>
            <c:extLst>
              <c:ext xmlns:c16="http://schemas.microsoft.com/office/drawing/2014/chart" uri="{C3380CC4-5D6E-409C-BE32-E72D297353CC}">
                <c16:uniqueId val="{00000009-1DB6-48E8-B3DA-9E9019ABDAA7}"/>
              </c:ext>
            </c:extLst>
          </c:dPt>
          <c:dPt>
            <c:idx val="5"/>
            <c:invertIfNegative val="0"/>
            <c:bubble3D val="0"/>
            <c:spPr>
              <a:solidFill>
                <a:srgbClr val="828DE6"/>
              </a:solidFill>
              <a:ln w="9525" cap="rnd">
                <a:solidFill>
                  <a:schemeClr val="bg1">
                    <a:lumMod val="65000"/>
                  </a:schemeClr>
                </a:solidFill>
                <a:prstDash val="solid"/>
              </a:ln>
              <a:effectLst/>
            </c:spPr>
            <c:extLst>
              <c:ext xmlns:c16="http://schemas.microsoft.com/office/drawing/2014/chart" uri="{C3380CC4-5D6E-409C-BE32-E72D297353CC}">
                <c16:uniqueId val="{0000000B-1DB6-48E8-B3DA-9E9019ABDAA7}"/>
              </c:ext>
            </c:extLst>
          </c:dPt>
          <c:dLbls>
            <c:spPr>
              <a:noFill/>
              <a:ln>
                <a:noFill/>
              </a:ln>
              <a:effectLst>
                <a:softEdge rad="2540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Comic Sans MS" panose="030F0702030302020204" pitchFamily="66"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Analysis!$G$3:$G$9</c:f>
              <c:strCache>
                <c:ptCount val="6"/>
                <c:pt idx="0">
                  <c:v>Audio</c:v>
                </c:pt>
                <c:pt idx="1">
                  <c:v>Computers</c:v>
                </c:pt>
                <c:pt idx="2">
                  <c:v>Electronics</c:v>
                </c:pt>
                <c:pt idx="3">
                  <c:v>Mobile</c:v>
                </c:pt>
                <c:pt idx="4">
                  <c:v>Peripherals  </c:v>
                </c:pt>
                <c:pt idx="5">
                  <c:v>Photography</c:v>
                </c:pt>
              </c:strCache>
            </c:strRef>
          </c:cat>
          <c:val>
            <c:numRef>
              <c:f>Analysis!$H$3:$H$9</c:f>
              <c:numCache>
                <c:formatCode>0.00%</c:formatCode>
                <c:ptCount val="6"/>
                <c:pt idx="0">
                  <c:v>9.2838196286472149E-2</c:v>
                </c:pt>
                <c:pt idx="1">
                  <c:v>0.16887709991158267</c:v>
                </c:pt>
                <c:pt idx="2">
                  <c:v>0.1900972590627763</c:v>
                </c:pt>
                <c:pt idx="3">
                  <c:v>0.27232537577365162</c:v>
                </c:pt>
                <c:pt idx="4">
                  <c:v>0.14677276746242263</c:v>
                </c:pt>
                <c:pt idx="5">
                  <c:v>0.12908930150309461</c:v>
                </c:pt>
              </c:numCache>
            </c:numRef>
          </c:val>
          <c:extLst>
            <c:ext xmlns:c16="http://schemas.microsoft.com/office/drawing/2014/chart" uri="{C3380CC4-5D6E-409C-BE32-E72D297353CC}">
              <c16:uniqueId val="{0000000C-1DB6-48E8-B3DA-9E9019ABDAA7}"/>
            </c:ext>
          </c:extLst>
        </c:ser>
        <c:dLbls>
          <c:showLegendKey val="0"/>
          <c:showVal val="0"/>
          <c:showCatName val="0"/>
          <c:showSerName val="0"/>
          <c:showPercent val="0"/>
          <c:showBubbleSize val="0"/>
        </c:dLbls>
        <c:gapWidth val="100"/>
        <c:axId val="1924225152"/>
        <c:axId val="1924229952"/>
      </c:barChart>
      <c:valAx>
        <c:axId val="1924229952"/>
        <c:scaling>
          <c:orientation val="minMax"/>
        </c:scaling>
        <c:delete val="1"/>
        <c:axPos val="b"/>
        <c:numFmt formatCode="0.00%" sourceLinked="1"/>
        <c:majorTickMark val="out"/>
        <c:minorTickMark val="none"/>
        <c:tickLblPos val="nextTo"/>
        <c:crossAx val="1924225152"/>
        <c:crossBetween val="between"/>
      </c:valAx>
      <c:catAx>
        <c:axId val="1924225152"/>
        <c:scaling>
          <c:orientation val="minMax"/>
        </c:scaling>
        <c:delete val="0"/>
        <c:axPos val="l"/>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50" b="0" i="0" u="none" strike="noStrike" kern="1200" baseline="0">
                <a:solidFill>
                  <a:schemeClr val="bg1">
                    <a:lumMod val="85000"/>
                  </a:schemeClr>
                </a:solidFill>
                <a:latin typeface="Aptos" panose="020B0004020202020204" pitchFamily="34" charset="0"/>
                <a:ea typeface="+mn-ea"/>
                <a:cs typeface="+mn-cs"/>
              </a:defRPr>
            </a:pPr>
            <a:endParaRPr lang="en-US"/>
          </a:p>
        </c:txPr>
        <c:crossAx val="1924229952"/>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Raw Data'!A1"/><Relationship Id="rId7" Type="http://schemas.openxmlformats.org/officeDocument/2006/relationships/chart" Target="../charts/chart3.xml"/><Relationship Id="rId2" Type="http://schemas.openxmlformats.org/officeDocument/2006/relationships/hyperlink" Target="#Analysis!A1"/><Relationship Id="rId1" Type="http://schemas.openxmlformats.org/officeDocument/2006/relationships/hyperlink" Target="#Dashboard!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122464</xdr:colOff>
      <xdr:row>0</xdr:row>
      <xdr:rowOff>0</xdr:rowOff>
    </xdr:from>
    <xdr:to>
      <xdr:col>22</xdr:col>
      <xdr:colOff>333522</xdr:colOff>
      <xdr:row>30</xdr:row>
      <xdr:rowOff>136860</xdr:rowOff>
    </xdr:to>
    <xdr:grpSp>
      <xdr:nvGrpSpPr>
        <xdr:cNvPr id="49" name="Group 48">
          <a:extLst>
            <a:ext uri="{FF2B5EF4-FFF2-40B4-BE49-F238E27FC236}">
              <a16:creationId xmlns:a16="http://schemas.microsoft.com/office/drawing/2014/main" id="{57414588-C452-E466-EE17-FDA6FFF60266}"/>
            </a:ext>
          </a:extLst>
        </xdr:cNvPr>
        <xdr:cNvGrpSpPr/>
      </xdr:nvGrpSpPr>
      <xdr:grpSpPr>
        <a:xfrm>
          <a:off x="3753170" y="0"/>
          <a:ext cx="9892940" cy="5851860"/>
          <a:chOff x="3753170" y="0"/>
          <a:chExt cx="9892940" cy="5851860"/>
        </a:xfrm>
      </xdr:grpSpPr>
      <xdr:sp macro="" textlink="">
        <xdr:nvSpPr>
          <xdr:cNvPr id="3" name="Rectangle 2">
            <a:extLst>
              <a:ext uri="{FF2B5EF4-FFF2-40B4-BE49-F238E27FC236}">
                <a16:creationId xmlns:a16="http://schemas.microsoft.com/office/drawing/2014/main" id="{34D14719-F4D8-4266-DE06-79CC0A1E9373}"/>
              </a:ext>
            </a:extLst>
          </xdr:cNvPr>
          <xdr:cNvSpPr/>
        </xdr:nvSpPr>
        <xdr:spPr>
          <a:xfrm>
            <a:off x="3753170" y="0"/>
            <a:ext cx="9892940" cy="5851860"/>
          </a:xfrm>
          <a:prstGeom prst="rect">
            <a:avLst/>
          </a:prstGeom>
          <a:solidFill>
            <a:srgbClr val="111A3B"/>
          </a:solidFill>
          <a:ln w="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5" name="Straight Connector 4">
            <a:extLst>
              <a:ext uri="{FF2B5EF4-FFF2-40B4-BE49-F238E27FC236}">
                <a16:creationId xmlns:a16="http://schemas.microsoft.com/office/drawing/2014/main" id="{F3D78897-470F-7FE9-39F5-8E86B7791B71}"/>
              </a:ext>
            </a:extLst>
          </xdr:cNvPr>
          <xdr:cNvCxnSpPr>
            <a:cxnSpLocks/>
          </xdr:cNvCxnSpPr>
        </xdr:nvCxnSpPr>
        <xdr:spPr>
          <a:xfrm>
            <a:off x="5384140" y="0"/>
            <a:ext cx="0" cy="5851860"/>
          </a:xfrm>
          <a:prstGeom prst="line">
            <a:avLst/>
          </a:prstGeom>
          <a:ln w="22225">
            <a:solidFill>
              <a:srgbClr val="2D3653"/>
            </a:solidFill>
          </a:ln>
        </xdr:spPr>
        <xdr:style>
          <a:lnRef idx="1">
            <a:schemeClr val="accent1"/>
          </a:lnRef>
          <a:fillRef idx="0">
            <a:schemeClr val="accent1"/>
          </a:fillRef>
          <a:effectRef idx="0">
            <a:schemeClr val="accent1"/>
          </a:effectRef>
          <a:fontRef idx="minor">
            <a:schemeClr val="tx1"/>
          </a:fontRef>
        </xdr:style>
      </xdr:cxnSp>
      <xdr:sp macro="" textlink="">
        <xdr:nvSpPr>
          <xdr:cNvPr id="6" name="Rectangle: Rounded Corners 5">
            <a:extLst>
              <a:ext uri="{FF2B5EF4-FFF2-40B4-BE49-F238E27FC236}">
                <a16:creationId xmlns:a16="http://schemas.microsoft.com/office/drawing/2014/main" id="{A9EDC0CD-7504-1743-88CB-E525D5444382}"/>
              </a:ext>
            </a:extLst>
          </xdr:cNvPr>
          <xdr:cNvSpPr/>
        </xdr:nvSpPr>
        <xdr:spPr>
          <a:xfrm>
            <a:off x="7624366" y="1407583"/>
            <a:ext cx="1825958" cy="640080"/>
          </a:xfrm>
          <a:prstGeom prst="roundRect">
            <a:avLst/>
          </a:prstGeom>
          <a:solidFill>
            <a:srgbClr val="2D3653"/>
          </a:solidFill>
          <a:ln w="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CEAAF99B-B12A-78CA-6FD2-26D0FD9C2384}"/>
              </a:ext>
            </a:extLst>
          </xdr:cNvPr>
          <xdr:cNvSpPr/>
        </xdr:nvSpPr>
        <xdr:spPr>
          <a:xfrm>
            <a:off x="9572051" y="1407583"/>
            <a:ext cx="1825958" cy="640080"/>
          </a:xfrm>
          <a:prstGeom prst="roundRect">
            <a:avLst/>
          </a:prstGeom>
          <a:solidFill>
            <a:srgbClr val="2D3653"/>
          </a:solidFill>
          <a:ln w="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56EFF470-9DBA-151E-A77A-8084A5B4D1A5}"/>
              </a:ext>
            </a:extLst>
          </xdr:cNvPr>
          <xdr:cNvSpPr/>
        </xdr:nvSpPr>
        <xdr:spPr>
          <a:xfrm>
            <a:off x="11511019" y="1406010"/>
            <a:ext cx="1825958" cy="641653"/>
          </a:xfrm>
          <a:prstGeom prst="roundRect">
            <a:avLst/>
          </a:prstGeom>
          <a:solidFill>
            <a:srgbClr val="2D3653"/>
          </a:solidFill>
          <a:ln w="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ECAAA888-CA8B-F2E3-43F9-30E4D515EFAB}"/>
              </a:ext>
            </a:extLst>
          </xdr:cNvPr>
          <xdr:cNvSpPr/>
        </xdr:nvSpPr>
        <xdr:spPr>
          <a:xfrm>
            <a:off x="5684557" y="4014861"/>
            <a:ext cx="3771015" cy="1705087"/>
          </a:xfrm>
          <a:prstGeom prst="roundRect">
            <a:avLst>
              <a:gd name="adj" fmla="val 7578"/>
            </a:avLst>
          </a:prstGeom>
          <a:solidFill>
            <a:srgbClr val="2D3653"/>
          </a:solidFill>
          <a:ln w="0"/>
          <a:effectLst>
            <a:glow>
              <a:schemeClr val="bg1">
                <a:alpha val="18000"/>
              </a:schemeClr>
            </a:glow>
            <a:outerShdw blurRad="50800" dist="38100" dir="5400000" sx="96000" sy="96000" algn="t" rotWithShape="0">
              <a:schemeClr val="bg2">
                <a:alpha val="40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7D55AC32-2F38-098F-8F4D-0438997AA272}"/>
              </a:ext>
            </a:extLst>
          </xdr:cNvPr>
          <xdr:cNvSpPr/>
        </xdr:nvSpPr>
        <xdr:spPr>
          <a:xfrm>
            <a:off x="5684556" y="2170566"/>
            <a:ext cx="3771015" cy="1705087"/>
          </a:xfrm>
          <a:prstGeom prst="roundRect">
            <a:avLst>
              <a:gd name="adj" fmla="val 7578"/>
            </a:avLst>
          </a:prstGeom>
          <a:solidFill>
            <a:srgbClr val="2D3653"/>
          </a:solidFill>
          <a:ln w="0"/>
          <a:effectLst>
            <a:glow>
              <a:schemeClr val="bg1">
                <a:alpha val="18000"/>
              </a:schemeClr>
            </a:glow>
            <a:outerShdw blurRad="50800" dist="38100" dir="5400000" sx="96000" sy="96000" algn="t" rotWithShape="0">
              <a:schemeClr val="bg2">
                <a:alpha val="40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82AED700-239D-1FE1-9579-854F5A673008}"/>
              </a:ext>
            </a:extLst>
          </xdr:cNvPr>
          <xdr:cNvSpPr/>
        </xdr:nvSpPr>
        <xdr:spPr>
          <a:xfrm>
            <a:off x="9574676" y="2170565"/>
            <a:ext cx="3762299" cy="1705087"/>
          </a:xfrm>
          <a:prstGeom prst="roundRect">
            <a:avLst>
              <a:gd name="adj" fmla="val 7578"/>
            </a:avLst>
          </a:prstGeom>
          <a:solidFill>
            <a:srgbClr val="2D3653"/>
          </a:solidFill>
          <a:ln w="0"/>
          <a:effectLst>
            <a:glow>
              <a:schemeClr val="bg1">
                <a:alpha val="18000"/>
              </a:schemeClr>
            </a:glow>
            <a:outerShdw blurRad="50800" dist="38100" dir="5400000" sx="96000" sy="96000" algn="t" rotWithShape="0">
              <a:schemeClr val="bg2">
                <a:alpha val="40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753549B9-0AAA-215E-EB72-8A637257DB74}"/>
              </a:ext>
            </a:extLst>
          </xdr:cNvPr>
          <xdr:cNvSpPr/>
        </xdr:nvSpPr>
        <xdr:spPr>
          <a:xfrm>
            <a:off x="9574678" y="4014861"/>
            <a:ext cx="3762299" cy="1705087"/>
          </a:xfrm>
          <a:prstGeom prst="roundRect">
            <a:avLst>
              <a:gd name="adj" fmla="val 7578"/>
            </a:avLst>
          </a:prstGeom>
          <a:solidFill>
            <a:srgbClr val="2D3653"/>
          </a:solidFill>
          <a:ln w="0"/>
          <a:effectLst>
            <a:glow>
              <a:schemeClr val="bg1">
                <a:alpha val="18000"/>
              </a:schemeClr>
            </a:glow>
            <a:outerShdw blurRad="50800" dist="38100" dir="5400000" sx="96000" sy="96000" algn="t" rotWithShape="0">
              <a:schemeClr val="bg2">
                <a:alpha val="40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TextBox 1">
            <a:extLst>
              <a:ext uri="{FF2B5EF4-FFF2-40B4-BE49-F238E27FC236}">
                <a16:creationId xmlns:a16="http://schemas.microsoft.com/office/drawing/2014/main" id="{BA54CB2F-B373-941B-7E44-42CD80D826F8}"/>
              </a:ext>
            </a:extLst>
          </xdr:cNvPr>
          <xdr:cNvSpPr txBox="1"/>
        </xdr:nvSpPr>
        <xdr:spPr>
          <a:xfrm>
            <a:off x="5613595" y="215523"/>
            <a:ext cx="4939655" cy="46166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solidFill>
                  <a:schemeClr val="bg1">
                    <a:lumMod val="75000"/>
                  </a:schemeClr>
                </a:solidFill>
                <a:latin typeface="Aptos" panose="020B0004020202020204" pitchFamily="34" charset="0"/>
              </a:rPr>
              <a:t>ELECTRONIC SALES DASHBOARD</a:t>
            </a:r>
          </a:p>
        </xdr:txBody>
      </xdr:sp>
      <xdr:sp macro="" textlink="">
        <xdr:nvSpPr>
          <xdr:cNvPr id="14" name="TextBox 2">
            <a:hlinkClick xmlns:r="http://schemas.openxmlformats.org/officeDocument/2006/relationships" r:id="rId1"/>
            <a:extLst>
              <a:ext uri="{FF2B5EF4-FFF2-40B4-BE49-F238E27FC236}">
                <a16:creationId xmlns:a16="http://schemas.microsoft.com/office/drawing/2014/main" id="{B75B3A88-EC83-E337-92B0-06154B7977D7}"/>
              </a:ext>
            </a:extLst>
          </xdr:cNvPr>
          <xdr:cNvSpPr txBox="1"/>
        </xdr:nvSpPr>
        <xdr:spPr>
          <a:xfrm>
            <a:off x="3931286" y="1739541"/>
            <a:ext cx="1332498" cy="33855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a:solidFill>
                  <a:schemeClr val="bg1">
                    <a:lumMod val="65000"/>
                  </a:schemeClr>
                </a:solidFill>
                <a:latin typeface="Comic Sans MS" panose="030F0702030302020204" pitchFamily="66" charset="0"/>
              </a:rPr>
              <a:t>Dashboard</a:t>
            </a:r>
            <a:endParaRPr lang="en-US" sz="2000">
              <a:solidFill>
                <a:schemeClr val="bg1">
                  <a:lumMod val="65000"/>
                </a:schemeClr>
              </a:solidFill>
              <a:latin typeface="Comic Sans MS" panose="030F0702030302020204" pitchFamily="66" charset="0"/>
            </a:endParaRPr>
          </a:p>
        </xdr:txBody>
      </xdr:sp>
      <xdr:sp macro="" textlink="">
        <xdr:nvSpPr>
          <xdr:cNvPr id="15" name="TextBox 3">
            <a:hlinkClick xmlns:r="http://schemas.openxmlformats.org/officeDocument/2006/relationships" r:id="rId2"/>
            <a:extLst>
              <a:ext uri="{FF2B5EF4-FFF2-40B4-BE49-F238E27FC236}">
                <a16:creationId xmlns:a16="http://schemas.microsoft.com/office/drawing/2014/main" id="{D8982DD2-D061-29EA-64C6-7C2177C53744}"/>
              </a:ext>
            </a:extLst>
          </xdr:cNvPr>
          <xdr:cNvSpPr txBox="1"/>
        </xdr:nvSpPr>
        <xdr:spPr>
          <a:xfrm>
            <a:off x="3931286" y="2163458"/>
            <a:ext cx="1332498" cy="33855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a:solidFill>
                  <a:schemeClr val="bg1">
                    <a:lumMod val="65000"/>
                  </a:schemeClr>
                </a:solidFill>
                <a:latin typeface="Comic Sans MS" panose="030F0702030302020204" pitchFamily="66" charset="0"/>
              </a:rPr>
              <a:t>Analysis</a:t>
            </a:r>
            <a:endParaRPr lang="en-US" sz="2000">
              <a:solidFill>
                <a:schemeClr val="bg1">
                  <a:lumMod val="65000"/>
                </a:schemeClr>
              </a:solidFill>
              <a:latin typeface="Comic Sans MS" panose="030F0702030302020204" pitchFamily="66" charset="0"/>
            </a:endParaRPr>
          </a:p>
        </xdr:txBody>
      </xdr:sp>
      <xdr:sp macro="" textlink="">
        <xdr:nvSpPr>
          <xdr:cNvPr id="16" name="TextBox 4">
            <a:hlinkClick xmlns:r="http://schemas.openxmlformats.org/officeDocument/2006/relationships" r:id="rId3"/>
            <a:extLst>
              <a:ext uri="{FF2B5EF4-FFF2-40B4-BE49-F238E27FC236}">
                <a16:creationId xmlns:a16="http://schemas.microsoft.com/office/drawing/2014/main" id="{8BAB744D-FFB1-A44D-D879-92A5419DF614}"/>
              </a:ext>
            </a:extLst>
          </xdr:cNvPr>
          <xdr:cNvSpPr txBox="1"/>
        </xdr:nvSpPr>
        <xdr:spPr>
          <a:xfrm>
            <a:off x="3931286" y="2587376"/>
            <a:ext cx="1332498" cy="33855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a:solidFill>
                  <a:schemeClr val="bg1">
                    <a:lumMod val="65000"/>
                  </a:schemeClr>
                </a:solidFill>
                <a:latin typeface="Comic Sans MS" panose="030F0702030302020204" pitchFamily="66" charset="0"/>
              </a:rPr>
              <a:t>Data</a:t>
            </a:r>
            <a:endParaRPr lang="en-US" sz="2000">
              <a:solidFill>
                <a:schemeClr val="bg1">
                  <a:lumMod val="65000"/>
                </a:schemeClr>
              </a:solidFill>
              <a:latin typeface="Comic Sans MS" panose="030F0702030302020204" pitchFamily="66" charset="0"/>
            </a:endParaRPr>
          </a:p>
        </xdr:txBody>
      </xdr:sp>
      <xdr:pic>
        <xdr:nvPicPr>
          <xdr:cNvPr id="17" name="Picture 16">
            <a:extLst>
              <a:ext uri="{FF2B5EF4-FFF2-40B4-BE49-F238E27FC236}">
                <a16:creationId xmlns:a16="http://schemas.microsoft.com/office/drawing/2014/main" id="{2E366ECF-962A-6821-CE86-43F56FF1D10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70482" y="89803"/>
            <a:ext cx="1454106" cy="1471538"/>
          </a:xfrm>
          <a:prstGeom prst="rect">
            <a:avLst/>
          </a:prstGeom>
        </xdr:spPr>
      </xdr:pic>
      <xdr:graphicFrame macro="">
        <xdr:nvGraphicFramePr>
          <xdr:cNvPr id="18" name="Chart 17">
            <a:extLst>
              <a:ext uri="{FF2B5EF4-FFF2-40B4-BE49-F238E27FC236}">
                <a16:creationId xmlns:a16="http://schemas.microsoft.com/office/drawing/2014/main" id="{6EE80571-3BC9-45C8-9649-FF0289EB4E4F}"/>
              </a:ext>
            </a:extLst>
          </xdr:cNvPr>
          <xdr:cNvGraphicFramePr>
            <a:graphicFrameLocks/>
          </xdr:cNvGraphicFramePr>
        </xdr:nvGraphicFramePr>
        <xdr:xfrm>
          <a:off x="5721226" y="2254249"/>
          <a:ext cx="3694208" cy="16192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a:extLst>
              <a:ext uri="{FF2B5EF4-FFF2-40B4-BE49-F238E27FC236}">
                <a16:creationId xmlns:a16="http://schemas.microsoft.com/office/drawing/2014/main" id="{75A5B462-4F77-473F-9FCB-314F3535D3D5}"/>
              </a:ext>
            </a:extLst>
          </xdr:cNvPr>
          <xdr:cNvGraphicFramePr>
            <a:graphicFrameLocks/>
          </xdr:cNvGraphicFramePr>
        </xdr:nvGraphicFramePr>
        <xdr:xfrm>
          <a:off x="9605932" y="2317745"/>
          <a:ext cx="3673039" cy="154516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0" name="Chart 19">
            <a:extLst>
              <a:ext uri="{FF2B5EF4-FFF2-40B4-BE49-F238E27FC236}">
                <a16:creationId xmlns:a16="http://schemas.microsoft.com/office/drawing/2014/main" id="{F0E87B70-A713-40BA-B159-C0FCF2A2CF27}"/>
              </a:ext>
            </a:extLst>
          </xdr:cNvPr>
          <xdr:cNvGraphicFramePr>
            <a:graphicFrameLocks/>
          </xdr:cNvGraphicFramePr>
        </xdr:nvGraphicFramePr>
        <xdr:xfrm>
          <a:off x="5789084" y="4116918"/>
          <a:ext cx="3636931" cy="157449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1" name="Chart 20">
            <a:extLst>
              <a:ext uri="{FF2B5EF4-FFF2-40B4-BE49-F238E27FC236}">
                <a16:creationId xmlns:a16="http://schemas.microsoft.com/office/drawing/2014/main" id="{76A264C2-442D-4F89-A730-DF91CD71A300}"/>
              </a:ext>
            </a:extLst>
          </xdr:cNvPr>
          <xdr:cNvGraphicFramePr>
            <a:graphicFrameLocks/>
          </xdr:cNvGraphicFramePr>
        </xdr:nvGraphicFramePr>
        <xdr:xfrm>
          <a:off x="9595350" y="4116917"/>
          <a:ext cx="3715372" cy="1608666"/>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2" name="TextBox 21">
            <a:extLst>
              <a:ext uri="{FF2B5EF4-FFF2-40B4-BE49-F238E27FC236}">
                <a16:creationId xmlns:a16="http://schemas.microsoft.com/office/drawing/2014/main" id="{A0BCFB53-406E-FDD5-B791-25D1E5B78AD6}"/>
              </a:ext>
            </a:extLst>
          </xdr:cNvPr>
          <xdr:cNvSpPr txBox="1"/>
        </xdr:nvSpPr>
        <xdr:spPr>
          <a:xfrm>
            <a:off x="6796525" y="2201333"/>
            <a:ext cx="1543609"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solidFill>
                <a:latin typeface="Aptos" panose="020B0004020202020204" pitchFamily="34" charset="0"/>
              </a:rPr>
              <a:t>Revenue by Region</a:t>
            </a:r>
          </a:p>
        </xdr:txBody>
      </xdr:sp>
      <xdr:sp macro="" textlink="">
        <xdr:nvSpPr>
          <xdr:cNvPr id="23" name="TextBox 22">
            <a:extLst>
              <a:ext uri="{FF2B5EF4-FFF2-40B4-BE49-F238E27FC236}">
                <a16:creationId xmlns:a16="http://schemas.microsoft.com/office/drawing/2014/main" id="{F99D7D5E-866E-45DC-A9D9-DFB792CCAB9C}"/>
              </a:ext>
            </a:extLst>
          </xdr:cNvPr>
          <xdr:cNvSpPr txBox="1"/>
        </xdr:nvSpPr>
        <xdr:spPr>
          <a:xfrm>
            <a:off x="10539943" y="4004732"/>
            <a:ext cx="2028076"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solidFill>
                <a:latin typeface="Aptos" panose="020B0004020202020204" pitchFamily="34" charset="0"/>
              </a:rPr>
              <a:t>CATEGORY DISTRIBUTION</a:t>
            </a:r>
          </a:p>
        </xdr:txBody>
      </xdr:sp>
      <xdr:sp macro="" textlink="">
        <xdr:nvSpPr>
          <xdr:cNvPr id="24" name="TextBox 23">
            <a:extLst>
              <a:ext uri="{FF2B5EF4-FFF2-40B4-BE49-F238E27FC236}">
                <a16:creationId xmlns:a16="http://schemas.microsoft.com/office/drawing/2014/main" id="{4A91DFA0-7133-4EFA-92D6-578135E4C697}"/>
              </a:ext>
            </a:extLst>
          </xdr:cNvPr>
          <xdr:cNvSpPr txBox="1"/>
        </xdr:nvSpPr>
        <xdr:spPr>
          <a:xfrm>
            <a:off x="10431460" y="2167466"/>
            <a:ext cx="2203760"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solidFill>
                <a:latin typeface="Aptos" panose="020B0004020202020204" pitchFamily="34" charset="0"/>
              </a:rPr>
              <a:t>TOP PRODUCTS BY REVENUE</a:t>
            </a:r>
          </a:p>
        </xdr:txBody>
      </xdr:sp>
      <xdr:sp macro="" textlink="">
        <xdr:nvSpPr>
          <xdr:cNvPr id="25" name="TextBox 24">
            <a:extLst>
              <a:ext uri="{FF2B5EF4-FFF2-40B4-BE49-F238E27FC236}">
                <a16:creationId xmlns:a16="http://schemas.microsoft.com/office/drawing/2014/main" id="{EDEB519E-B07C-4EE5-9CEA-F69B8E19A5D7}"/>
              </a:ext>
            </a:extLst>
          </xdr:cNvPr>
          <xdr:cNvSpPr txBox="1"/>
        </xdr:nvSpPr>
        <xdr:spPr>
          <a:xfrm>
            <a:off x="7224616" y="4013200"/>
            <a:ext cx="1860860"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solidFill>
                <a:latin typeface="Aptos" panose="020B0004020202020204" pitchFamily="34" charset="0"/>
              </a:rPr>
              <a:t>MONTHLY SALES TREND</a:t>
            </a:r>
          </a:p>
        </xdr:txBody>
      </xdr:sp>
      <mc:AlternateContent xmlns:mc="http://schemas.openxmlformats.org/markup-compatibility/2006">
        <mc:Choice xmlns:a14="http://schemas.microsoft.com/office/drawing/2010/main" Requires="a14">
          <xdr:graphicFrame macro="">
            <xdr:nvGraphicFramePr>
              <xdr:cNvPr id="27" name="Sales Rep">
                <a:extLst>
                  <a:ext uri="{FF2B5EF4-FFF2-40B4-BE49-F238E27FC236}">
                    <a16:creationId xmlns:a16="http://schemas.microsoft.com/office/drawing/2014/main" id="{304B5ABF-D07F-4276-B588-CF6945ED7B1D}"/>
                  </a:ext>
                </a:extLst>
              </xdr:cNvPr>
              <xdr:cNvGraphicFramePr>
                <a:graphicFrameLocks/>
              </xdr:cNvGraphicFramePr>
            </xdr:nvGraphicFramePr>
            <xdr:xfrm>
              <a:off x="10615081" y="899583"/>
              <a:ext cx="2699622" cy="41148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10615081" y="899583"/>
                <a:ext cx="2699622" cy="41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2" name="Rectangle: Rounded Corners 31">
            <a:extLst>
              <a:ext uri="{FF2B5EF4-FFF2-40B4-BE49-F238E27FC236}">
                <a16:creationId xmlns:a16="http://schemas.microsoft.com/office/drawing/2014/main" id="{F0EA9D4E-7B03-95FD-F0A2-73A27722D7C2}"/>
              </a:ext>
            </a:extLst>
          </xdr:cNvPr>
          <xdr:cNvSpPr/>
        </xdr:nvSpPr>
        <xdr:spPr>
          <a:xfrm>
            <a:off x="5676681" y="1407583"/>
            <a:ext cx="1825958" cy="640080"/>
          </a:xfrm>
          <a:prstGeom prst="roundRect">
            <a:avLst/>
          </a:prstGeom>
          <a:solidFill>
            <a:srgbClr val="2D3653"/>
          </a:solidFill>
          <a:ln w="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mc:AlternateContent xmlns:mc="http://schemas.openxmlformats.org/markup-compatibility/2006">
        <mc:Choice xmlns:a14="http://schemas.microsoft.com/office/drawing/2010/main" Requires="a14">
          <xdr:graphicFrame macro="">
            <xdr:nvGraphicFramePr>
              <xdr:cNvPr id="34" name="Category">
                <a:extLst>
                  <a:ext uri="{FF2B5EF4-FFF2-40B4-BE49-F238E27FC236}">
                    <a16:creationId xmlns:a16="http://schemas.microsoft.com/office/drawing/2014/main" id="{C71B5395-F5CE-4530-80A1-DEB6EF468626}"/>
                  </a:ext>
                </a:extLst>
              </xdr:cNvPr>
              <xdr:cNvGraphicFramePr/>
            </xdr:nvGraphicFramePr>
            <xdr:xfrm>
              <a:off x="7712110" y="899583"/>
              <a:ext cx="2699621" cy="41148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12110" y="899583"/>
                <a:ext cx="2699621" cy="41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6" name="Region">
                <a:extLst>
                  <a:ext uri="{FF2B5EF4-FFF2-40B4-BE49-F238E27FC236}">
                    <a16:creationId xmlns:a16="http://schemas.microsoft.com/office/drawing/2014/main" id="{95765D46-78C0-43A8-8AEC-5EBED1114887}"/>
                  </a:ext>
                </a:extLst>
              </xdr:cNvPr>
              <xdr:cNvGraphicFramePr/>
            </xdr:nvGraphicFramePr>
            <xdr:xfrm>
              <a:off x="5706106" y="899583"/>
              <a:ext cx="1802653" cy="41148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06106" y="899583"/>
                <a:ext cx="1802653" cy="41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8" name="TextBox 37">
            <a:extLst>
              <a:ext uri="{FF2B5EF4-FFF2-40B4-BE49-F238E27FC236}">
                <a16:creationId xmlns:a16="http://schemas.microsoft.com/office/drawing/2014/main" id="{8A6BEAEE-C955-2DF6-6FFF-DB76CA3032F0}"/>
              </a:ext>
            </a:extLst>
          </xdr:cNvPr>
          <xdr:cNvSpPr txBox="1"/>
        </xdr:nvSpPr>
        <xdr:spPr>
          <a:xfrm>
            <a:off x="5988453" y="1409700"/>
            <a:ext cx="1315289"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lumMod val="75000"/>
                  </a:schemeClr>
                </a:solidFill>
                <a:latin typeface="Aptos" panose="020B0004020202020204" pitchFamily="34" charset="0"/>
              </a:rPr>
              <a:t>TOTAL Revenue</a:t>
            </a:r>
          </a:p>
        </xdr:txBody>
      </xdr:sp>
      <xdr:sp macro="" textlink="">
        <xdr:nvSpPr>
          <xdr:cNvPr id="39" name="TextBox 38">
            <a:extLst>
              <a:ext uri="{FF2B5EF4-FFF2-40B4-BE49-F238E27FC236}">
                <a16:creationId xmlns:a16="http://schemas.microsoft.com/office/drawing/2014/main" id="{B74ACCB6-D198-42C3-8EAB-0F191189ECF2}"/>
              </a:ext>
            </a:extLst>
          </xdr:cNvPr>
          <xdr:cNvSpPr txBox="1"/>
        </xdr:nvSpPr>
        <xdr:spPr>
          <a:xfrm>
            <a:off x="11578200" y="1409700"/>
            <a:ext cx="1711354" cy="292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lumMod val="75000"/>
                  </a:schemeClr>
                </a:solidFill>
                <a:latin typeface="Aptos" panose="020B0004020202020204" pitchFamily="34" charset="0"/>
              </a:rPr>
              <a:t>NO. OF TRANSACTIONS</a:t>
            </a:r>
          </a:p>
        </xdr:txBody>
      </xdr:sp>
      <xdr:sp macro="" textlink="">
        <xdr:nvSpPr>
          <xdr:cNvPr id="40" name="TextBox 39">
            <a:extLst>
              <a:ext uri="{FF2B5EF4-FFF2-40B4-BE49-F238E27FC236}">
                <a16:creationId xmlns:a16="http://schemas.microsoft.com/office/drawing/2014/main" id="{56B5EF98-7227-46AD-9CFD-A548D2AE41C3}"/>
              </a:ext>
            </a:extLst>
          </xdr:cNvPr>
          <xdr:cNvSpPr txBox="1"/>
        </xdr:nvSpPr>
        <xdr:spPr>
          <a:xfrm>
            <a:off x="9789653" y="1409700"/>
            <a:ext cx="1536377"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lumMod val="75000"/>
                  </a:schemeClr>
                </a:solidFill>
                <a:latin typeface="Aptos" panose="020B0004020202020204" pitchFamily="34" charset="0"/>
              </a:rPr>
              <a:t>AVG ORDER VALUE</a:t>
            </a:r>
          </a:p>
        </xdr:txBody>
      </xdr:sp>
      <xdr:sp macro="" textlink="">
        <xdr:nvSpPr>
          <xdr:cNvPr id="41" name="TextBox 40">
            <a:extLst>
              <a:ext uri="{FF2B5EF4-FFF2-40B4-BE49-F238E27FC236}">
                <a16:creationId xmlns:a16="http://schemas.microsoft.com/office/drawing/2014/main" id="{7799D3B9-C2B2-44C1-B566-480FA7956A55}"/>
              </a:ext>
            </a:extLst>
          </xdr:cNvPr>
          <xdr:cNvSpPr txBox="1"/>
        </xdr:nvSpPr>
        <xdr:spPr>
          <a:xfrm>
            <a:off x="7872246" y="1409700"/>
            <a:ext cx="1437350"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all" baseline="0">
                <a:solidFill>
                  <a:schemeClr val="bg1">
                    <a:lumMod val="75000"/>
                  </a:schemeClr>
                </a:solidFill>
                <a:latin typeface="Aptos" panose="020B0004020202020204" pitchFamily="34" charset="0"/>
              </a:rPr>
              <a:t>TOTAL UNITS SOLD</a:t>
            </a:r>
          </a:p>
        </xdr:txBody>
      </xdr:sp>
      <xdr:sp macro="" textlink="">
        <xdr:nvSpPr>
          <xdr:cNvPr id="45" name="TextBox 44">
            <a:extLst>
              <a:ext uri="{FF2B5EF4-FFF2-40B4-BE49-F238E27FC236}">
                <a16:creationId xmlns:a16="http://schemas.microsoft.com/office/drawing/2014/main" id="{B3FDD2DE-CB6F-633F-4DFB-7E3BB90FB0BF}"/>
              </a:ext>
            </a:extLst>
          </xdr:cNvPr>
          <xdr:cNvSpPr txBox="1"/>
        </xdr:nvSpPr>
        <xdr:spPr>
          <a:xfrm>
            <a:off x="5827062" y="1661584"/>
            <a:ext cx="1709519"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rgbClr val="F2F2F2"/>
                </a:solidFill>
                <a:effectLst/>
                <a:latin typeface="Aptos" panose="020B0004020202020204" pitchFamily="34" charset="0"/>
              </a:rPr>
              <a:t>₦302,030,445</a:t>
            </a:r>
            <a:endParaRPr lang="en-US" sz="1800">
              <a:latin typeface="Aptos" panose="020B0004020202020204" pitchFamily="34" charset="0"/>
            </a:endParaRPr>
          </a:p>
        </xdr:txBody>
      </xdr:sp>
      <xdr:sp macro="" textlink="">
        <xdr:nvSpPr>
          <xdr:cNvPr id="46" name="TextBox 45">
            <a:extLst>
              <a:ext uri="{FF2B5EF4-FFF2-40B4-BE49-F238E27FC236}">
                <a16:creationId xmlns:a16="http://schemas.microsoft.com/office/drawing/2014/main" id="{0414FED7-BCDC-29F3-4B09-2EE35E34BF44}"/>
              </a:ext>
            </a:extLst>
          </xdr:cNvPr>
          <xdr:cNvSpPr txBox="1"/>
        </xdr:nvSpPr>
        <xdr:spPr>
          <a:xfrm>
            <a:off x="8134244" y="1661584"/>
            <a:ext cx="806201"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lumMod val="95000"/>
                  </a:schemeClr>
                </a:solidFill>
                <a:effectLst/>
                <a:latin typeface="Aptos" panose="020B0004020202020204" pitchFamily="34" charset="0"/>
              </a:rPr>
              <a:t>1,131</a:t>
            </a:r>
            <a:endParaRPr lang="en-US" sz="1800" b="1">
              <a:solidFill>
                <a:schemeClr val="bg1">
                  <a:lumMod val="95000"/>
                </a:schemeClr>
              </a:solidFill>
              <a:latin typeface="Aptos" panose="020B0004020202020204" pitchFamily="34" charset="0"/>
            </a:endParaRPr>
          </a:p>
        </xdr:txBody>
      </xdr:sp>
      <xdr:sp macro="" textlink="">
        <xdr:nvSpPr>
          <xdr:cNvPr id="47" name="TextBox 46">
            <a:extLst>
              <a:ext uri="{FF2B5EF4-FFF2-40B4-BE49-F238E27FC236}">
                <a16:creationId xmlns:a16="http://schemas.microsoft.com/office/drawing/2014/main" id="{8BA1D1C0-4A87-AC19-4326-2F7A1F4E9862}"/>
              </a:ext>
            </a:extLst>
          </xdr:cNvPr>
          <xdr:cNvSpPr txBox="1"/>
        </xdr:nvSpPr>
        <xdr:spPr>
          <a:xfrm>
            <a:off x="9854387" y="1661584"/>
            <a:ext cx="1400732"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lumMod val="95000"/>
                  </a:schemeClr>
                </a:solidFill>
                <a:effectLst/>
                <a:latin typeface="Aptos" panose="020B0004020202020204" pitchFamily="34" charset="0"/>
              </a:rPr>
              <a:t>₦3,050,813</a:t>
            </a:r>
            <a:r>
              <a:rPr lang="en-US" sz="1800" b="1">
                <a:solidFill>
                  <a:schemeClr val="bg1">
                    <a:lumMod val="95000"/>
                  </a:schemeClr>
                </a:solidFill>
                <a:latin typeface="Aptos" panose="020B0004020202020204" pitchFamily="34" charset="0"/>
              </a:rPr>
              <a:t> </a:t>
            </a:r>
          </a:p>
        </xdr:txBody>
      </xdr:sp>
      <xdr:sp macro="" textlink="">
        <xdr:nvSpPr>
          <xdr:cNvPr id="48" name="TextBox 47">
            <a:extLst>
              <a:ext uri="{FF2B5EF4-FFF2-40B4-BE49-F238E27FC236}">
                <a16:creationId xmlns:a16="http://schemas.microsoft.com/office/drawing/2014/main" id="{6E363F17-B491-EB71-A523-91E1B485DE5F}"/>
              </a:ext>
            </a:extLst>
          </xdr:cNvPr>
          <xdr:cNvSpPr txBox="1"/>
        </xdr:nvSpPr>
        <xdr:spPr>
          <a:xfrm>
            <a:off x="12200816" y="1661584"/>
            <a:ext cx="455079"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lumMod val="95000"/>
                  </a:schemeClr>
                </a:solidFill>
                <a:effectLst/>
                <a:latin typeface="Aptos" panose="020B0004020202020204" pitchFamily="34" charset="0"/>
              </a:rPr>
              <a:t>99</a:t>
            </a:r>
            <a:r>
              <a:rPr lang="en-US" sz="1800" b="1">
                <a:solidFill>
                  <a:schemeClr val="bg1">
                    <a:lumMod val="95000"/>
                  </a:schemeClr>
                </a:solidFill>
                <a:latin typeface="Aptos" panose="020B0004020202020204" pitchFamily="34" charset="0"/>
              </a:rPr>
              <a:t>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refreshedDate="46034.107850462962" createdVersion="8" refreshedVersion="8" minRefreshableVersion="3" recordCount="99" xr:uid="{0A112758-CA55-40D1-BF35-CC935468142F}">
  <cacheSource type="worksheet">
    <worksheetSource ref="A1:I100" sheet="Raw Data"/>
  </cacheSource>
  <cacheFields count="11">
    <cacheField name="Date" numFmtId="164">
      <sharedItems containsSemiMixedTypes="0" containsNonDate="0" containsDate="1" containsString="0" minDate="2025-01-04T00:00:00" maxDate="2025-06-30T00:00:00" count="76">
        <d v="2025-06-13T00:00:00"/>
        <d v="2025-04-08T00:00:00"/>
        <d v="2025-01-29T00:00:00"/>
        <d v="2025-05-17T00:00:00"/>
        <d v="2025-01-28T00:00:00"/>
        <d v="2025-05-26T00:00:00"/>
        <d v="2025-05-06T00:00:00"/>
        <d v="2025-02-10T00:00:00"/>
        <d v="2025-02-01T00:00:00"/>
        <d v="2025-06-28T00:00:00"/>
        <d v="2025-04-18T00:00:00"/>
        <d v="2025-02-25T00:00:00"/>
        <d v="2025-04-29T00:00:00"/>
        <d v="2025-02-02T00:00:00"/>
        <d v="2025-04-15T00:00:00"/>
        <d v="2025-06-12T00:00:00"/>
        <d v="2025-01-31T00:00:00"/>
        <d v="2025-05-25T00:00:00"/>
        <d v="2025-02-26T00:00:00"/>
        <d v="2025-04-06T00:00:00"/>
        <d v="2025-02-24T00:00:00"/>
        <d v="2025-03-24T00:00:00"/>
        <d v="2025-05-28T00:00:00"/>
        <d v="2025-05-12T00:00:00"/>
        <d v="2025-05-11T00:00:00"/>
        <d v="2025-01-16T00:00:00"/>
        <d v="2025-05-10T00:00:00"/>
        <d v="2025-02-06T00:00:00"/>
        <d v="2025-06-17T00:00:00"/>
        <d v="2025-01-09T00:00:00"/>
        <d v="2025-06-29T00:00:00"/>
        <d v="2025-03-19T00:00:00"/>
        <d v="2025-02-07T00:00:00"/>
        <d v="2025-03-07T00:00:00"/>
        <d v="2025-05-07T00:00:00"/>
        <d v="2025-01-13T00:00:00"/>
        <d v="2025-06-15T00:00:00"/>
        <d v="2025-02-28T00:00:00"/>
        <d v="2025-02-19T00:00:00"/>
        <d v="2025-03-03T00:00:00"/>
        <d v="2025-04-01T00:00:00"/>
        <d v="2025-04-07T00:00:00"/>
        <d v="2025-06-01T00:00:00"/>
        <d v="2025-01-14T00:00:00"/>
        <d v="2025-02-22T00:00:00"/>
        <d v="2025-01-27T00:00:00"/>
        <d v="2025-01-04T00:00:00"/>
        <d v="2025-03-08T00:00:00"/>
        <d v="2025-01-23T00:00:00"/>
        <d v="2025-02-05T00:00:00"/>
        <d v="2025-01-06T00:00:00"/>
        <d v="2025-05-02T00:00:00"/>
        <d v="2025-06-02T00:00:00"/>
        <d v="2025-02-16T00:00:00"/>
        <d v="2025-04-14T00:00:00"/>
        <d v="2025-01-11T00:00:00"/>
        <d v="2025-05-29T00:00:00"/>
        <d v="2025-03-15T00:00:00"/>
        <d v="2025-03-26T00:00:00"/>
        <d v="2025-01-12T00:00:00"/>
        <d v="2025-05-05T00:00:00"/>
        <d v="2025-05-19T00:00:00"/>
        <d v="2025-04-04T00:00:00"/>
        <d v="2025-06-03T00:00:00"/>
        <d v="2025-04-05T00:00:00"/>
        <d v="2025-01-30T00:00:00"/>
        <d v="2025-05-27T00:00:00"/>
        <d v="2025-02-13T00:00:00"/>
        <d v="2025-03-09T00:00:00"/>
        <d v="2025-02-20T00:00:00"/>
        <d v="2025-04-10T00:00:00"/>
        <d v="2025-05-21T00:00:00"/>
        <d v="2025-06-26T00:00:00"/>
        <d v="2025-06-27T00:00:00"/>
        <d v="2025-06-07T00:00:00"/>
        <d v="2025-05-13T00:00:00"/>
      </sharedItems>
      <fieldGroup par="10"/>
    </cacheField>
    <cacheField name="Region" numFmtId="15">
      <sharedItems count="4">
        <s v="South"/>
        <s v="East"/>
        <s v="North"/>
        <s v="West"/>
      </sharedItems>
    </cacheField>
    <cacheField name="Product" numFmtId="15">
      <sharedItems count="7">
        <s v="Laptop A15"/>
        <s v="Tv 43Q"/>
        <s v="Phone X12"/>
        <s v="Monitor M24"/>
        <s v="Camera C100"/>
        <s v="Tablet T8"/>
        <s v="Speaker S10"/>
      </sharedItems>
    </cacheField>
    <cacheField name="Category" numFmtId="15">
      <sharedItems count="6">
        <s v="Computers"/>
        <s v="Electronics"/>
        <s v="Mobile"/>
        <s v="Peripherals  "/>
        <s v="Photography"/>
        <s v="Audio"/>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3500" maxValue="2500000"/>
    </cacheField>
    <cacheField name="Total Sales" numFmtId="168">
      <sharedItems containsSemiMixedTypes="0" containsString="0" containsNumber="1" containsInteger="1" minValue="59500" maxValue="50000000" count="70">
        <n v="20000000"/>
        <n v="2100000"/>
        <n v="2520000"/>
        <n v="1170000"/>
        <n v="900000"/>
        <n v="2991113"/>
        <n v="1050000"/>
        <n v="130000"/>
        <n v="2450000"/>
        <n v="600000"/>
        <n v="3000000"/>
        <n v="510000"/>
        <n v="150000"/>
        <n v="630000"/>
        <n v="170000"/>
        <n v="682385"/>
        <n v="1750000"/>
        <n v="525000"/>
        <n v="875000"/>
        <n v="5000000"/>
        <n v="350000"/>
        <n v="1200000"/>
        <n v="4750000"/>
        <n v="935000"/>
        <n v="1105000"/>
        <n v="5250000"/>
        <n v="2800000"/>
        <n v="4900000"/>
        <n v="1800000"/>
        <n v="1400000"/>
        <n v="50000000"/>
        <n v="780000"/>
        <n v="294960"/>
        <n v="3150000"/>
        <n v="450000"/>
        <n v="1440000"/>
        <n v="750000"/>
        <n v="1530000"/>
        <n v="1350000"/>
        <n v="2700000"/>
        <n v="1650000"/>
        <n v="2850000"/>
        <n v="595000"/>
        <n v="752856"/>
        <n v="11700000"/>
        <n v="325000"/>
        <n v="4550000"/>
        <n v="6650000"/>
        <n v="1620000"/>
        <n v="1500000"/>
        <n v="850000"/>
        <n v="125000"/>
        <n v="3850000"/>
        <n v="3500000"/>
        <n v="2400000"/>
        <n v="3250000"/>
        <n v="715000"/>
        <n v="59500"/>
        <n v="2340000"/>
        <n v="425000"/>
        <n v="5950000"/>
        <n v="2550000"/>
        <n v="1235000"/>
        <n v="720000"/>
        <n v="27500000"/>
        <n v="624631"/>
        <n v="1250000"/>
        <n v="3325000"/>
        <n v="2975000"/>
        <n v="7000000"/>
      </sharedItems>
    </cacheField>
    <cacheField name="Sales Rep" numFmtId="0">
      <sharedItems count="9">
        <s v="Peter Obi"/>
        <s v="Ifeanyi Okafor  "/>
        <s v="Fola Balogun"/>
        <s v="Aisha Bello"/>
        <s v="Chinedu Nwosu"/>
        <s v="Mary John"/>
        <s v="Grace Amos"/>
        <s v="Job Austin"/>
        <s v="Praise Odunayo"/>
      </sharedItems>
    </cacheField>
    <cacheField name="Customer" numFmtId="0">
      <sharedItems/>
    </cacheField>
    <cacheField name="Months (Date)" numFmtId="0" databaseField="0">
      <fieldGroup base="0">
        <rangePr groupBy="months" startDate="2025-01-04T00:00:00" endDate="2025-06-30T00:00:00"/>
        <groupItems count="14">
          <s v="&lt;1/4/2025"/>
          <s v="Jan"/>
          <s v="Feb"/>
          <s v="Mar"/>
          <s v="Apr"/>
          <s v="May"/>
          <s v="Jun"/>
          <s v="Jul"/>
          <s v="Aug"/>
          <s v="Sep"/>
          <s v="Oct"/>
          <s v="Nov"/>
          <s v="Dec"/>
          <s v="&gt;6/30/2025"/>
        </groupItems>
      </fieldGroup>
    </cacheField>
    <cacheField name="Quarters (Date)" numFmtId="0" databaseField="0">
      <fieldGroup base="0">
        <rangePr groupBy="quarters" startDate="2025-01-04T00:00:00" endDate="2025-06-30T00:00:00"/>
        <groupItems count="6">
          <s v="&lt;1/4/2025"/>
          <s v="Qtr1"/>
          <s v="Qtr2"/>
          <s v="Qtr3"/>
          <s v="Qtr4"/>
          <s v="&gt;6/30/2025"/>
        </groupItems>
      </fieldGroup>
    </cacheField>
  </cacheFields>
  <extLst>
    <ext xmlns:x14="http://schemas.microsoft.com/office/spreadsheetml/2009/9/main" uri="{725AE2AE-9491-48be-B2B4-4EB974FC3084}">
      <x14:pivotCacheDefinition pivotCacheId="843601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n v="8"/>
    <n v="2500000"/>
    <x v="0"/>
    <x v="0"/>
    <s v="Bright Solutions"/>
  </r>
  <r>
    <x v="1"/>
    <x v="1"/>
    <x v="1"/>
    <x v="1"/>
    <n v="6"/>
    <n v="350000"/>
    <x v="1"/>
    <x v="1"/>
    <s v="Musa Enterprises"/>
  </r>
  <r>
    <x v="2"/>
    <x v="2"/>
    <x v="2"/>
    <x v="2"/>
    <n v="14"/>
    <n v="180000"/>
    <x v="2"/>
    <x v="2"/>
    <s v="Zainab Global"/>
  </r>
  <r>
    <x v="3"/>
    <x v="0"/>
    <x v="3"/>
    <x v="3"/>
    <n v="18"/>
    <n v="65000"/>
    <x v="3"/>
    <x v="1"/>
    <s v="Jide Superstores"/>
  </r>
  <r>
    <x v="4"/>
    <x v="3"/>
    <x v="2"/>
    <x v="2"/>
    <n v="5"/>
    <n v="180000"/>
    <x v="4"/>
    <x v="0"/>
    <s v="Chika Mart"/>
  </r>
  <r>
    <x v="5"/>
    <x v="1"/>
    <x v="2"/>
    <x v="2"/>
    <n v="19"/>
    <n v="157427"/>
    <x v="5"/>
    <x v="1"/>
    <s v="Musa Enterprises"/>
  </r>
  <r>
    <x v="6"/>
    <x v="3"/>
    <x v="1"/>
    <x v="1"/>
    <n v="3"/>
    <n v="350000"/>
    <x v="6"/>
    <x v="3"/>
    <s v="Chika Mart"/>
  </r>
  <r>
    <x v="7"/>
    <x v="3"/>
    <x v="3"/>
    <x v="3"/>
    <n v="2"/>
    <n v="65000"/>
    <x v="7"/>
    <x v="0"/>
    <s v="Musa Enterprises"/>
  </r>
  <r>
    <x v="8"/>
    <x v="1"/>
    <x v="4"/>
    <x v="4"/>
    <n v="14"/>
    <n v="175000"/>
    <x v="8"/>
    <x v="2"/>
    <s v="Bright Solutions"/>
  </r>
  <r>
    <x v="9"/>
    <x v="3"/>
    <x v="5"/>
    <x v="2"/>
    <n v="4"/>
    <n v="150000"/>
    <x v="9"/>
    <x v="0"/>
    <s v="Alpha Retailers"/>
  </r>
  <r>
    <x v="10"/>
    <x v="0"/>
    <x v="5"/>
    <x v="2"/>
    <n v="20"/>
    <n v="150000"/>
    <x v="10"/>
    <x v="2"/>
    <s v="Musa Enterprises"/>
  </r>
  <r>
    <x v="11"/>
    <x v="2"/>
    <x v="6"/>
    <x v="5"/>
    <n v="6"/>
    <n v="85000"/>
    <x v="11"/>
    <x v="3"/>
    <s v="Omega Wholesale"/>
  </r>
  <r>
    <x v="12"/>
    <x v="3"/>
    <x v="5"/>
    <x v="2"/>
    <n v="1"/>
    <n v="150000"/>
    <x v="12"/>
    <x v="3"/>
    <s v="Kelvin Tech"/>
  </r>
  <r>
    <x v="13"/>
    <x v="1"/>
    <x v="1"/>
    <x v="1"/>
    <n v="18"/>
    <n v="35000"/>
    <x v="13"/>
    <x v="4"/>
    <s v="Emeka Traders"/>
  </r>
  <r>
    <x v="14"/>
    <x v="0"/>
    <x v="6"/>
    <x v="5"/>
    <n v="2"/>
    <n v="85000"/>
    <x v="14"/>
    <x v="1"/>
    <s v="Bright Solutions"/>
  </r>
  <r>
    <x v="15"/>
    <x v="1"/>
    <x v="3"/>
    <x v="3"/>
    <n v="11"/>
    <n v="62035"/>
    <x v="15"/>
    <x v="4"/>
    <s v="Tola Ventures"/>
  </r>
  <r>
    <x v="16"/>
    <x v="1"/>
    <x v="4"/>
    <x v="4"/>
    <n v="10"/>
    <n v="175000"/>
    <x v="16"/>
    <x v="2"/>
    <s v="Omega Wholesale"/>
  </r>
  <r>
    <x v="13"/>
    <x v="3"/>
    <x v="5"/>
    <x v="2"/>
    <n v="4"/>
    <n v="150000"/>
    <x v="9"/>
    <x v="5"/>
    <s v="Jide Superstores"/>
  </r>
  <r>
    <x v="17"/>
    <x v="3"/>
    <x v="4"/>
    <x v="4"/>
    <n v="3"/>
    <n v="175000"/>
    <x v="17"/>
    <x v="6"/>
    <s v="Femi Tech"/>
  </r>
  <r>
    <x v="18"/>
    <x v="2"/>
    <x v="4"/>
    <x v="4"/>
    <n v="5"/>
    <n v="175000"/>
    <x v="18"/>
    <x v="4"/>
    <s v="Femi Tech"/>
  </r>
  <r>
    <x v="19"/>
    <x v="1"/>
    <x v="0"/>
    <x v="0"/>
    <n v="20"/>
    <n v="250000"/>
    <x v="19"/>
    <x v="6"/>
    <s v="Musa Enterprises"/>
  </r>
  <r>
    <x v="20"/>
    <x v="1"/>
    <x v="4"/>
    <x v="4"/>
    <n v="2"/>
    <n v="175000"/>
    <x v="20"/>
    <x v="0"/>
    <s v="Emeka Traders"/>
  </r>
  <r>
    <x v="21"/>
    <x v="1"/>
    <x v="5"/>
    <x v="2"/>
    <n v="20"/>
    <n v="150000"/>
    <x v="10"/>
    <x v="2"/>
    <s v="Maryam Ltd"/>
  </r>
  <r>
    <x v="22"/>
    <x v="2"/>
    <x v="5"/>
    <x v="2"/>
    <n v="8"/>
    <n v="150000"/>
    <x v="21"/>
    <x v="1"/>
    <s v="Omega Wholesale"/>
  </r>
  <r>
    <x v="23"/>
    <x v="3"/>
    <x v="0"/>
    <x v="0"/>
    <n v="19"/>
    <n v="250000"/>
    <x v="22"/>
    <x v="6"/>
    <s v="Femi Tech"/>
  </r>
  <r>
    <x v="24"/>
    <x v="1"/>
    <x v="4"/>
    <x v="4"/>
    <n v="12"/>
    <n v="175000"/>
    <x v="1"/>
    <x v="4"/>
    <s v="Omega Wholesale"/>
  </r>
  <r>
    <x v="25"/>
    <x v="2"/>
    <x v="6"/>
    <x v="5"/>
    <n v="11"/>
    <n v="85000"/>
    <x v="23"/>
    <x v="6"/>
    <s v="Femi Tech"/>
  </r>
  <r>
    <x v="26"/>
    <x v="2"/>
    <x v="3"/>
    <x v="3"/>
    <n v="17"/>
    <n v="65000"/>
    <x v="24"/>
    <x v="4"/>
    <s v="Kelvin Tech"/>
  </r>
  <r>
    <x v="8"/>
    <x v="0"/>
    <x v="1"/>
    <x v="1"/>
    <n v="15"/>
    <n v="350000"/>
    <x v="25"/>
    <x v="7"/>
    <s v="Zainab Global"/>
  </r>
  <r>
    <x v="27"/>
    <x v="3"/>
    <x v="1"/>
    <x v="1"/>
    <n v="8"/>
    <n v="350000"/>
    <x v="26"/>
    <x v="0"/>
    <s v="Femi Tech"/>
  </r>
  <r>
    <x v="28"/>
    <x v="3"/>
    <x v="1"/>
    <x v="1"/>
    <n v="14"/>
    <n v="350000"/>
    <x v="27"/>
    <x v="4"/>
    <s v="Tope &amp; Sons"/>
  </r>
  <r>
    <x v="29"/>
    <x v="1"/>
    <x v="5"/>
    <x v="2"/>
    <n v="12"/>
    <n v="150000"/>
    <x v="28"/>
    <x v="2"/>
    <s v="Alpha Retailers"/>
  </r>
  <r>
    <x v="30"/>
    <x v="2"/>
    <x v="4"/>
    <x v="4"/>
    <n v="8"/>
    <n v="175000"/>
    <x v="29"/>
    <x v="0"/>
    <s v="Alpha Retailers"/>
  </r>
  <r>
    <x v="31"/>
    <x v="0"/>
    <x v="5"/>
    <x v="2"/>
    <n v="6"/>
    <n v="150000"/>
    <x v="4"/>
    <x v="0"/>
    <s v="Femi Tech"/>
  </r>
  <r>
    <x v="27"/>
    <x v="3"/>
    <x v="0"/>
    <x v="0"/>
    <n v="20"/>
    <n v="2500000"/>
    <x v="30"/>
    <x v="0"/>
    <s v="Omega Wholesale"/>
  </r>
  <r>
    <x v="19"/>
    <x v="0"/>
    <x v="3"/>
    <x v="3"/>
    <n v="12"/>
    <n v="65000"/>
    <x v="31"/>
    <x v="0"/>
    <s v="Maryam Ltd"/>
  </r>
  <r>
    <x v="32"/>
    <x v="0"/>
    <x v="3"/>
    <x v="3"/>
    <n v="4"/>
    <n v="73740"/>
    <x v="32"/>
    <x v="5"/>
    <s v="Tope &amp; Sons"/>
  </r>
  <r>
    <x v="33"/>
    <x v="1"/>
    <x v="4"/>
    <x v="4"/>
    <n v="18"/>
    <n v="175000"/>
    <x v="33"/>
    <x v="6"/>
    <s v="Bright Solutions"/>
  </r>
  <r>
    <x v="34"/>
    <x v="2"/>
    <x v="2"/>
    <x v="2"/>
    <n v="10"/>
    <n v="180000"/>
    <x v="28"/>
    <x v="5"/>
    <s v="Chika Mart"/>
  </r>
  <r>
    <x v="11"/>
    <x v="2"/>
    <x v="5"/>
    <x v="2"/>
    <n v="3"/>
    <n v="150000"/>
    <x v="34"/>
    <x v="5"/>
    <s v="Tope &amp; Sons"/>
  </r>
  <r>
    <x v="35"/>
    <x v="0"/>
    <x v="2"/>
    <x v="2"/>
    <n v="8"/>
    <n v="180000"/>
    <x v="35"/>
    <x v="3"/>
    <s v="Omega Wholesale"/>
  </r>
  <r>
    <x v="36"/>
    <x v="0"/>
    <x v="0"/>
    <x v="0"/>
    <n v="3"/>
    <n v="250000"/>
    <x v="36"/>
    <x v="5"/>
    <s v="Chika Mart"/>
  </r>
  <r>
    <x v="37"/>
    <x v="1"/>
    <x v="6"/>
    <x v="5"/>
    <n v="18"/>
    <n v="85000"/>
    <x v="37"/>
    <x v="1"/>
    <s v="Alpha Retailers"/>
  </r>
  <r>
    <x v="38"/>
    <x v="3"/>
    <x v="5"/>
    <x v="2"/>
    <n v="9"/>
    <n v="150000"/>
    <x v="38"/>
    <x v="5"/>
    <s v="Kelvin Tech"/>
  </r>
  <r>
    <x v="39"/>
    <x v="1"/>
    <x v="5"/>
    <x v="2"/>
    <n v="18"/>
    <n v="150000"/>
    <x v="39"/>
    <x v="2"/>
    <s v="Alpha Retailers"/>
  </r>
  <r>
    <x v="40"/>
    <x v="3"/>
    <x v="5"/>
    <x v="2"/>
    <n v="11"/>
    <n v="150000"/>
    <x v="40"/>
    <x v="5"/>
    <s v="Chika Mart"/>
  </r>
  <r>
    <x v="41"/>
    <x v="0"/>
    <x v="1"/>
    <x v="1"/>
    <n v="4"/>
    <n v="350000"/>
    <x v="29"/>
    <x v="6"/>
    <s v="Jide Superstores"/>
  </r>
  <r>
    <x v="18"/>
    <x v="0"/>
    <x v="5"/>
    <x v="2"/>
    <n v="19"/>
    <n v="150000"/>
    <x v="41"/>
    <x v="8"/>
    <s v="Kelvin Tech"/>
  </r>
  <r>
    <x v="42"/>
    <x v="1"/>
    <x v="6"/>
    <x v="5"/>
    <n v="7"/>
    <n v="85000"/>
    <x v="42"/>
    <x v="3"/>
    <s v="Bright Solutions"/>
  </r>
  <r>
    <x v="43"/>
    <x v="3"/>
    <x v="3"/>
    <x v="3"/>
    <n v="13"/>
    <n v="57912"/>
    <x v="43"/>
    <x v="2"/>
    <s v="Femi Tech"/>
  </r>
  <r>
    <x v="44"/>
    <x v="1"/>
    <x v="3"/>
    <x v="3"/>
    <n v="18"/>
    <n v="650000"/>
    <x v="44"/>
    <x v="6"/>
    <s v="Jide Superstores"/>
  </r>
  <r>
    <x v="21"/>
    <x v="3"/>
    <x v="3"/>
    <x v="3"/>
    <n v="5"/>
    <n v="65000"/>
    <x v="45"/>
    <x v="3"/>
    <s v="Kelvin Tech"/>
  </r>
  <r>
    <x v="45"/>
    <x v="0"/>
    <x v="1"/>
    <x v="1"/>
    <n v="13"/>
    <n v="350000"/>
    <x v="46"/>
    <x v="4"/>
    <s v="Femi Tech"/>
  </r>
  <r>
    <x v="46"/>
    <x v="3"/>
    <x v="1"/>
    <x v="1"/>
    <n v="19"/>
    <n v="350000"/>
    <x v="47"/>
    <x v="1"/>
    <s v="Jide Superstores"/>
  </r>
  <r>
    <x v="47"/>
    <x v="2"/>
    <x v="2"/>
    <x v="2"/>
    <n v="9"/>
    <n v="180000"/>
    <x v="48"/>
    <x v="3"/>
    <s v="Adewale Stores"/>
  </r>
  <r>
    <x v="48"/>
    <x v="1"/>
    <x v="5"/>
    <x v="2"/>
    <n v="10"/>
    <n v="150000"/>
    <x v="49"/>
    <x v="4"/>
    <s v="Maryam Ltd"/>
  </r>
  <r>
    <x v="25"/>
    <x v="1"/>
    <x v="6"/>
    <x v="5"/>
    <n v="10"/>
    <n v="85000"/>
    <x v="50"/>
    <x v="3"/>
    <s v="Kelvin Tech"/>
  </r>
  <r>
    <x v="49"/>
    <x v="0"/>
    <x v="0"/>
    <x v="0"/>
    <n v="5"/>
    <n v="25000"/>
    <x v="51"/>
    <x v="3"/>
    <s v="Zainab Global"/>
  </r>
  <r>
    <x v="17"/>
    <x v="1"/>
    <x v="5"/>
    <x v="2"/>
    <n v="1"/>
    <n v="150000"/>
    <x v="12"/>
    <x v="6"/>
    <s v="Musa Enterprises"/>
  </r>
  <r>
    <x v="50"/>
    <x v="0"/>
    <x v="5"/>
    <x v="2"/>
    <n v="20"/>
    <n v="150000"/>
    <x v="10"/>
    <x v="3"/>
    <s v="Emeka Traders"/>
  </r>
  <r>
    <x v="27"/>
    <x v="0"/>
    <x v="1"/>
    <x v="1"/>
    <n v="11"/>
    <n v="350000"/>
    <x v="52"/>
    <x v="4"/>
    <s v="Tola Ventures"/>
  </r>
  <r>
    <x v="43"/>
    <x v="1"/>
    <x v="0"/>
    <x v="0"/>
    <n v="14"/>
    <n v="250000"/>
    <x v="53"/>
    <x v="4"/>
    <s v="Chika Mart"/>
  </r>
  <r>
    <x v="51"/>
    <x v="3"/>
    <x v="5"/>
    <x v="2"/>
    <n v="3"/>
    <n v="150000"/>
    <x v="34"/>
    <x v="3"/>
    <s v="Bright Solutions"/>
  </r>
  <r>
    <x v="28"/>
    <x v="1"/>
    <x v="6"/>
    <x v="5"/>
    <n v="6"/>
    <n v="85000"/>
    <x v="11"/>
    <x v="2"/>
    <s v="Emeka Traders"/>
  </r>
  <r>
    <x v="35"/>
    <x v="3"/>
    <x v="1"/>
    <x v="1"/>
    <n v="15"/>
    <n v="350000"/>
    <x v="25"/>
    <x v="4"/>
    <s v="Tola Ventures"/>
  </r>
  <r>
    <x v="52"/>
    <x v="2"/>
    <x v="5"/>
    <x v="2"/>
    <n v="16"/>
    <n v="150000"/>
    <x v="54"/>
    <x v="1"/>
    <s v="Chika Mart"/>
  </r>
  <r>
    <x v="53"/>
    <x v="1"/>
    <x v="4"/>
    <x v="4"/>
    <n v="8"/>
    <n v="175000"/>
    <x v="29"/>
    <x v="0"/>
    <s v="Bright Solutions"/>
  </r>
  <r>
    <x v="54"/>
    <x v="0"/>
    <x v="6"/>
    <x v="5"/>
    <n v="2"/>
    <n v="85000"/>
    <x v="14"/>
    <x v="4"/>
    <s v="Kelvin Tech"/>
  </r>
  <r>
    <x v="50"/>
    <x v="2"/>
    <x v="0"/>
    <x v="0"/>
    <n v="13"/>
    <n v="250000"/>
    <x v="55"/>
    <x v="6"/>
    <s v="Chika Mart"/>
  </r>
  <r>
    <x v="55"/>
    <x v="3"/>
    <x v="3"/>
    <x v="3"/>
    <n v="11"/>
    <n v="65000"/>
    <x v="56"/>
    <x v="4"/>
    <s v="Tola Ventures"/>
  </r>
  <r>
    <x v="28"/>
    <x v="0"/>
    <x v="1"/>
    <x v="1"/>
    <n v="17"/>
    <n v="3500"/>
    <x v="57"/>
    <x v="4"/>
    <s v="Omega Wholesale"/>
  </r>
  <r>
    <x v="43"/>
    <x v="3"/>
    <x v="3"/>
    <x v="3"/>
    <n v="18"/>
    <n v="65000"/>
    <x v="3"/>
    <x v="4"/>
    <s v="Femi Tech"/>
  </r>
  <r>
    <x v="56"/>
    <x v="1"/>
    <x v="2"/>
    <x v="2"/>
    <n v="13"/>
    <n v="180000"/>
    <x v="58"/>
    <x v="6"/>
    <s v="Zainab Global"/>
  </r>
  <r>
    <x v="57"/>
    <x v="0"/>
    <x v="4"/>
    <x v="4"/>
    <n v="10"/>
    <n v="175000"/>
    <x v="16"/>
    <x v="3"/>
    <s v="Jide Superstores"/>
  </r>
  <r>
    <x v="58"/>
    <x v="1"/>
    <x v="6"/>
    <x v="5"/>
    <n v="5"/>
    <n v="85000"/>
    <x v="59"/>
    <x v="6"/>
    <s v="Adewale Stores"/>
  </r>
  <r>
    <x v="59"/>
    <x v="2"/>
    <x v="1"/>
    <x v="1"/>
    <n v="17"/>
    <n v="350000"/>
    <x v="60"/>
    <x v="5"/>
    <s v="Emeka Traders"/>
  </r>
  <r>
    <x v="48"/>
    <x v="2"/>
    <x v="1"/>
    <x v="1"/>
    <n v="13"/>
    <n v="350000"/>
    <x v="46"/>
    <x v="2"/>
    <s v="Emeka Traders"/>
  </r>
  <r>
    <x v="60"/>
    <x v="2"/>
    <x v="1"/>
    <x v="1"/>
    <n v="8"/>
    <n v="350000"/>
    <x v="26"/>
    <x v="1"/>
    <s v="Maryam Ltd"/>
  </r>
  <r>
    <x v="61"/>
    <x v="0"/>
    <x v="6"/>
    <x v="5"/>
    <n v="13"/>
    <n v="85000"/>
    <x v="24"/>
    <x v="3"/>
    <s v="Maryam Ltd"/>
  </r>
  <r>
    <x v="62"/>
    <x v="1"/>
    <x v="5"/>
    <x v="2"/>
    <n v="17"/>
    <n v="150000"/>
    <x v="61"/>
    <x v="2"/>
    <s v="Musa Enterprises"/>
  </r>
  <r>
    <x v="18"/>
    <x v="0"/>
    <x v="3"/>
    <x v="3"/>
    <n v="19"/>
    <n v="65000"/>
    <x v="62"/>
    <x v="6"/>
    <s v="Femi Tech"/>
  </r>
  <r>
    <x v="63"/>
    <x v="2"/>
    <x v="5"/>
    <x v="2"/>
    <n v="1"/>
    <n v="150000"/>
    <x v="12"/>
    <x v="6"/>
    <s v="Adewale Stores"/>
  </r>
  <r>
    <x v="64"/>
    <x v="1"/>
    <x v="0"/>
    <x v="0"/>
    <n v="13"/>
    <n v="250000"/>
    <x v="55"/>
    <x v="4"/>
    <s v="Maryam Ltd"/>
  </r>
  <r>
    <x v="65"/>
    <x v="1"/>
    <x v="3"/>
    <x v="3"/>
    <n v="18"/>
    <n v="65000"/>
    <x v="3"/>
    <x v="4"/>
    <s v="Tope &amp; Sons"/>
  </r>
  <r>
    <x v="16"/>
    <x v="2"/>
    <x v="0"/>
    <x v="0"/>
    <n v="20"/>
    <n v="250000"/>
    <x v="19"/>
    <x v="3"/>
    <s v="Omega Wholesale"/>
  </r>
  <r>
    <x v="66"/>
    <x v="1"/>
    <x v="2"/>
    <x v="2"/>
    <n v="4"/>
    <n v="180000"/>
    <x v="63"/>
    <x v="3"/>
    <s v="Musa Enterprises"/>
  </r>
  <r>
    <x v="1"/>
    <x v="0"/>
    <x v="5"/>
    <x v="2"/>
    <n v="5"/>
    <n v="150000"/>
    <x v="36"/>
    <x v="4"/>
    <s v="Alpha Retailers"/>
  </r>
  <r>
    <x v="67"/>
    <x v="3"/>
    <x v="0"/>
    <x v="0"/>
    <n v="11"/>
    <n v="2500000"/>
    <x v="64"/>
    <x v="2"/>
    <s v="Omega Wholesale"/>
  </r>
  <r>
    <x v="68"/>
    <x v="1"/>
    <x v="0"/>
    <x v="0"/>
    <n v="20"/>
    <n v="250000"/>
    <x v="19"/>
    <x v="1"/>
    <s v="Femi Tech"/>
  </r>
  <r>
    <x v="69"/>
    <x v="3"/>
    <x v="6"/>
    <x v="5"/>
    <n v="7"/>
    <n v="89233"/>
    <x v="65"/>
    <x v="2"/>
    <s v="Femi Tech"/>
  </r>
  <r>
    <x v="38"/>
    <x v="1"/>
    <x v="0"/>
    <x v="0"/>
    <n v="5"/>
    <n v="250000"/>
    <x v="66"/>
    <x v="5"/>
    <s v="Tope &amp; Sons"/>
  </r>
  <r>
    <x v="70"/>
    <x v="1"/>
    <x v="4"/>
    <x v="4"/>
    <n v="19"/>
    <n v="175000"/>
    <x v="67"/>
    <x v="5"/>
    <s v="Kelvin Tech"/>
  </r>
  <r>
    <x v="71"/>
    <x v="1"/>
    <x v="1"/>
    <x v="1"/>
    <n v="14"/>
    <n v="350000"/>
    <x v="27"/>
    <x v="6"/>
    <s v="Musa Enterprises"/>
  </r>
  <r>
    <x v="72"/>
    <x v="1"/>
    <x v="4"/>
    <x v="4"/>
    <n v="20"/>
    <n v="175000"/>
    <x v="53"/>
    <x v="5"/>
    <s v="Bright Solutions"/>
  </r>
  <r>
    <x v="69"/>
    <x v="0"/>
    <x v="6"/>
    <x v="5"/>
    <n v="18"/>
    <n v="85000"/>
    <x v="37"/>
    <x v="0"/>
    <s v="Tola Ventures"/>
  </r>
  <r>
    <x v="73"/>
    <x v="2"/>
    <x v="4"/>
    <x v="4"/>
    <n v="17"/>
    <n v="175000"/>
    <x v="68"/>
    <x v="1"/>
    <s v="Emeka Traders"/>
  </r>
  <r>
    <x v="49"/>
    <x v="0"/>
    <x v="0"/>
    <x v="0"/>
    <n v="20"/>
    <n v="250000"/>
    <x v="19"/>
    <x v="2"/>
    <s v="Musa Enterprises"/>
  </r>
  <r>
    <x v="74"/>
    <x v="0"/>
    <x v="1"/>
    <x v="1"/>
    <n v="20"/>
    <n v="350000"/>
    <x v="69"/>
    <x v="0"/>
    <s v="Femi Tech"/>
  </r>
  <r>
    <x v="75"/>
    <x v="3"/>
    <x v="5"/>
    <x v="2"/>
    <n v="18"/>
    <n v="150000"/>
    <x v="39"/>
    <x v="6"/>
    <s v="Alpha Retail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DF698E-BA80-404C-BD36-5251F00A2164}"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12" firstHeaderRow="1" firstDataRow="1" firstDataCol="1"/>
  <pivotFields count="11">
    <pivotField numFmtId="164" showAll="0">
      <items count="77">
        <item x="46"/>
        <item x="50"/>
        <item x="29"/>
        <item x="55"/>
        <item x="59"/>
        <item x="35"/>
        <item x="43"/>
        <item x="25"/>
        <item x="48"/>
        <item x="45"/>
        <item x="4"/>
        <item x="2"/>
        <item x="65"/>
        <item x="16"/>
        <item x="8"/>
        <item x="13"/>
        <item x="49"/>
        <item x="27"/>
        <item x="32"/>
        <item x="7"/>
        <item x="67"/>
        <item x="53"/>
        <item x="38"/>
        <item x="69"/>
        <item x="44"/>
        <item x="20"/>
        <item x="11"/>
        <item x="18"/>
        <item x="37"/>
        <item x="39"/>
        <item x="33"/>
        <item x="47"/>
        <item x="68"/>
        <item x="57"/>
        <item x="31"/>
        <item x="21"/>
        <item x="58"/>
        <item x="40"/>
        <item x="62"/>
        <item x="64"/>
        <item x="19"/>
        <item x="41"/>
        <item x="1"/>
        <item x="70"/>
        <item x="54"/>
        <item x="14"/>
        <item x="10"/>
        <item x="12"/>
        <item x="51"/>
        <item x="60"/>
        <item x="6"/>
        <item x="34"/>
        <item x="26"/>
        <item x="24"/>
        <item x="23"/>
        <item x="75"/>
        <item x="3"/>
        <item x="61"/>
        <item x="71"/>
        <item x="17"/>
        <item x="5"/>
        <item x="66"/>
        <item x="22"/>
        <item x="56"/>
        <item x="42"/>
        <item x="52"/>
        <item x="63"/>
        <item x="74"/>
        <item x="15"/>
        <item x="0"/>
        <item x="36"/>
        <item x="28"/>
        <item x="72"/>
        <item x="73"/>
        <item x="9"/>
        <item x="30"/>
        <item t="default"/>
      </items>
    </pivotField>
    <pivotField showAll="0">
      <items count="5">
        <item x="1"/>
        <item x="2"/>
        <item x="0"/>
        <item x="3"/>
        <item t="default"/>
      </items>
    </pivotField>
    <pivotField showAll="0"/>
    <pivotField showAll="0">
      <items count="7">
        <item x="5"/>
        <item x="0"/>
        <item x="1"/>
        <item x="2"/>
        <item x="3"/>
        <item x="4"/>
        <item t="default"/>
      </items>
    </pivotField>
    <pivotField showAll="0"/>
    <pivotField showAll="0"/>
    <pivotField dataField="1" showAll="0"/>
    <pivotField axis="axisRow" showAll="0">
      <items count="10">
        <item x="3"/>
        <item x="4"/>
        <item x="2"/>
        <item x="6"/>
        <item x="1"/>
        <item x="7"/>
        <item x="5"/>
        <item x="0"/>
        <item x="8"/>
        <item t="default"/>
      </items>
    </pivotField>
    <pivotField showAll="0"/>
    <pivotField showAll="0" defaultSubtotal="0"/>
    <pivotField showAll="0" defaultSubtotal="0">
      <items count="6">
        <item x="0"/>
        <item x="1"/>
        <item x="2"/>
        <item x="3"/>
        <item x="4"/>
        <item x="5"/>
      </items>
    </pivotField>
  </pivotFields>
  <rowFields count="1">
    <field x="7"/>
  </rowFields>
  <rowItems count="10">
    <i>
      <x/>
    </i>
    <i>
      <x v="1"/>
    </i>
    <i>
      <x v="2"/>
    </i>
    <i>
      <x v="3"/>
    </i>
    <i>
      <x v="4"/>
    </i>
    <i>
      <x v="5"/>
    </i>
    <i>
      <x v="6"/>
    </i>
    <i>
      <x v="7"/>
    </i>
    <i>
      <x v="8"/>
    </i>
    <i t="grand">
      <x/>
    </i>
  </rowItems>
  <colItems count="1">
    <i/>
  </colItems>
  <dataFields count="1">
    <dataField name="Sum of Total Sales" fld="6" baseField="0" baseItem="0"/>
  </dataFields>
  <formats count="2">
    <format dxfId="7">
      <pivotArea collapsedLevelsAreSubtotals="1" fieldPosition="0">
        <references count="1">
          <reference field="7" count="0"/>
        </references>
      </pivotArea>
    </format>
    <format dxfId="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47A36-1571-4293-AFA3-3AD7A65262C8}" name="Sales Trend by Month"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K9" firstHeaderRow="1" firstDataRow="1" firstDataCol="1"/>
  <pivotFields count="11">
    <pivotField numFmtId="164" showAll="0">
      <items count="77">
        <item x="46"/>
        <item x="50"/>
        <item x="29"/>
        <item x="55"/>
        <item x="59"/>
        <item x="35"/>
        <item x="43"/>
        <item x="25"/>
        <item x="48"/>
        <item x="45"/>
        <item x="4"/>
        <item x="2"/>
        <item x="65"/>
        <item x="16"/>
        <item x="8"/>
        <item x="13"/>
        <item x="49"/>
        <item x="27"/>
        <item x="32"/>
        <item x="7"/>
        <item x="67"/>
        <item x="53"/>
        <item x="38"/>
        <item x="69"/>
        <item x="44"/>
        <item x="20"/>
        <item x="11"/>
        <item x="18"/>
        <item x="37"/>
        <item x="39"/>
        <item x="33"/>
        <item x="47"/>
        <item x="68"/>
        <item x="57"/>
        <item x="31"/>
        <item x="21"/>
        <item x="58"/>
        <item x="40"/>
        <item x="62"/>
        <item x="64"/>
        <item x="19"/>
        <item x="41"/>
        <item x="1"/>
        <item x="70"/>
        <item x="54"/>
        <item x="14"/>
        <item x="10"/>
        <item x="12"/>
        <item x="51"/>
        <item x="60"/>
        <item x="6"/>
        <item x="34"/>
        <item x="26"/>
        <item x="24"/>
        <item x="23"/>
        <item x="75"/>
        <item x="3"/>
        <item x="61"/>
        <item x="71"/>
        <item x="17"/>
        <item x="5"/>
        <item x="66"/>
        <item x="22"/>
        <item x="56"/>
        <item x="42"/>
        <item x="52"/>
        <item x="63"/>
        <item x="74"/>
        <item x="15"/>
        <item x="0"/>
        <item x="36"/>
        <item x="28"/>
        <item x="72"/>
        <item x="73"/>
        <item x="9"/>
        <item x="30"/>
        <item t="default"/>
      </items>
    </pivotField>
    <pivotField showAll="0">
      <items count="5">
        <item x="1"/>
        <item x="2"/>
        <item x="0"/>
        <item x="3"/>
        <item t="default"/>
      </items>
    </pivotField>
    <pivotField showAll="0"/>
    <pivotField showAll="0">
      <items count="7">
        <item x="5"/>
        <item x="0"/>
        <item x="1"/>
        <item x="2"/>
        <item x="3"/>
        <item x="4"/>
        <item t="default"/>
      </items>
    </pivotField>
    <pivotField showAll="0"/>
    <pivotField showAll="0"/>
    <pivotField dataField="1" showAll="0"/>
    <pivotField showAll="0">
      <items count="10">
        <item x="3"/>
        <item x="4"/>
        <item x="2"/>
        <item x="6"/>
        <item x="1"/>
        <item x="7"/>
        <item x="5"/>
        <item x="0"/>
        <item x="8"/>
        <item t="default"/>
      </items>
    </pivotField>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7">
    <i>
      <x v="1"/>
    </i>
    <i>
      <x v="2"/>
    </i>
    <i>
      <x v="3"/>
    </i>
    <i>
      <x v="4"/>
    </i>
    <i>
      <x v="5"/>
    </i>
    <i>
      <x v="6"/>
    </i>
    <i t="grand">
      <x/>
    </i>
  </rowItems>
  <colItems count="1">
    <i/>
  </colItems>
  <dataFields count="1">
    <dataField name="Sum of Total Sales" fld="6" showDataAs="percentOfTotal" baseField="0" baseItem="0" numFmtId="10"/>
  </dataFields>
  <formats count="2">
    <format dxfId="8">
      <pivotArea outline="0" collapsedLevelsAreSubtotals="1" fieldPosition="0"/>
    </format>
    <format dxfId="4">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93905C-996C-4487-89F3-1A44B8062828}" name="Revenue by Category"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H9" firstHeaderRow="1" firstDataRow="1" firstDataCol="1"/>
  <pivotFields count="11">
    <pivotField numFmtId="164" showAll="0">
      <items count="77">
        <item x="46"/>
        <item x="50"/>
        <item x="29"/>
        <item x="55"/>
        <item x="59"/>
        <item x="35"/>
        <item x="43"/>
        <item x="25"/>
        <item x="48"/>
        <item x="45"/>
        <item x="4"/>
        <item x="2"/>
        <item x="65"/>
        <item x="16"/>
        <item x="8"/>
        <item x="13"/>
        <item x="49"/>
        <item x="27"/>
        <item x="32"/>
        <item x="7"/>
        <item x="67"/>
        <item x="53"/>
        <item x="38"/>
        <item x="69"/>
        <item x="44"/>
        <item x="20"/>
        <item x="11"/>
        <item x="18"/>
        <item x="37"/>
        <item x="39"/>
        <item x="33"/>
        <item x="47"/>
        <item x="68"/>
        <item x="57"/>
        <item x="31"/>
        <item x="21"/>
        <item x="58"/>
        <item x="40"/>
        <item x="62"/>
        <item x="64"/>
        <item x="19"/>
        <item x="41"/>
        <item x="1"/>
        <item x="70"/>
        <item x="54"/>
        <item x="14"/>
        <item x="10"/>
        <item x="12"/>
        <item x="51"/>
        <item x="60"/>
        <item x="6"/>
        <item x="34"/>
        <item x="26"/>
        <item x="24"/>
        <item x="23"/>
        <item x="75"/>
        <item x="3"/>
        <item x="61"/>
        <item x="71"/>
        <item x="17"/>
        <item x="5"/>
        <item x="66"/>
        <item x="22"/>
        <item x="56"/>
        <item x="42"/>
        <item x="52"/>
        <item x="63"/>
        <item x="74"/>
        <item x="15"/>
        <item x="0"/>
        <item x="36"/>
        <item x="28"/>
        <item x="72"/>
        <item x="73"/>
        <item x="9"/>
        <item x="30"/>
        <item t="default"/>
      </items>
    </pivotField>
    <pivotField showAll="0">
      <items count="5">
        <item x="1"/>
        <item x="2"/>
        <item x="0"/>
        <item x="3"/>
        <item t="default"/>
      </items>
    </pivotField>
    <pivotField showAll="0"/>
    <pivotField axis="axisRow" showAll="0">
      <items count="7">
        <item x="5"/>
        <item x="0"/>
        <item x="1"/>
        <item x="2"/>
        <item x="3"/>
        <item x="4"/>
        <item t="default"/>
      </items>
    </pivotField>
    <pivotField dataField="1" showAll="0"/>
    <pivotField showAll="0"/>
    <pivotField showAll="0"/>
    <pivotField showAll="0">
      <items count="10">
        <item x="3"/>
        <item x="4"/>
        <item x="2"/>
        <item x="6"/>
        <item x="1"/>
        <item x="7"/>
        <item x="5"/>
        <item x="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7">
    <i>
      <x/>
    </i>
    <i>
      <x v="1"/>
    </i>
    <i>
      <x v="2"/>
    </i>
    <i>
      <x v="3"/>
    </i>
    <i>
      <x v="4"/>
    </i>
    <i>
      <x v="5"/>
    </i>
    <i t="grand">
      <x/>
    </i>
  </rowItems>
  <colItems count="1">
    <i/>
  </colItems>
  <dataFields count="1">
    <dataField name="Sum of Units Sold" fld="4" showDataAs="percentOfTotal" baseField="0" baseItem="0" numFmtId="10"/>
  </dataFields>
  <chartFormats count="1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5"/>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0"/>
          </reference>
        </references>
      </pivotArea>
    </chartFormat>
    <chartFormat chart="5" format="24">
      <pivotArea type="data" outline="0" fieldPosition="0">
        <references count="2">
          <reference field="4294967294" count="1" selected="0">
            <x v="0"/>
          </reference>
          <reference field="3" count="1" selected="0">
            <x v="1"/>
          </reference>
        </references>
      </pivotArea>
    </chartFormat>
    <chartFormat chart="5" format="25">
      <pivotArea type="data" outline="0" fieldPosition="0">
        <references count="2">
          <reference field="4294967294" count="1" selected="0">
            <x v="0"/>
          </reference>
          <reference field="3" count="1" selected="0">
            <x v="2"/>
          </reference>
        </references>
      </pivotArea>
    </chartFormat>
    <chartFormat chart="5" format="26">
      <pivotArea type="data" outline="0" fieldPosition="0">
        <references count="2">
          <reference field="4294967294" count="1" selected="0">
            <x v="0"/>
          </reference>
          <reference field="3" count="1" selected="0">
            <x v="3"/>
          </reference>
        </references>
      </pivotArea>
    </chartFormat>
    <chartFormat chart="5" format="27">
      <pivotArea type="data" outline="0" fieldPosition="0">
        <references count="2">
          <reference field="4294967294" count="1" selected="0">
            <x v="0"/>
          </reference>
          <reference field="3" count="1" selected="0">
            <x v="4"/>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F42D1-0935-477B-BDCF-D637B3135BC2}" name="Revenue by Product"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E8" firstHeaderRow="1" firstDataRow="1" firstDataCol="1"/>
  <pivotFields count="11">
    <pivotField numFmtId="164" showAll="0">
      <items count="77">
        <item x="46"/>
        <item x="50"/>
        <item x="29"/>
        <item x="55"/>
        <item x="59"/>
        <item x="35"/>
        <item x="43"/>
        <item x="25"/>
        <item x="48"/>
        <item x="45"/>
        <item x="4"/>
        <item x="2"/>
        <item x="65"/>
        <item x="16"/>
        <item x="8"/>
        <item x="13"/>
        <item x="49"/>
        <item x="27"/>
        <item x="32"/>
        <item x="7"/>
        <item x="67"/>
        <item x="53"/>
        <item x="38"/>
        <item x="69"/>
        <item x="44"/>
        <item x="20"/>
        <item x="11"/>
        <item x="18"/>
        <item x="37"/>
        <item x="39"/>
        <item x="33"/>
        <item x="47"/>
        <item x="68"/>
        <item x="57"/>
        <item x="31"/>
        <item x="21"/>
        <item x="58"/>
        <item x="40"/>
        <item x="62"/>
        <item x="64"/>
        <item x="19"/>
        <item x="41"/>
        <item x="1"/>
        <item x="70"/>
        <item x="54"/>
        <item x="14"/>
        <item x="10"/>
        <item x="12"/>
        <item x="51"/>
        <item x="60"/>
        <item x="6"/>
        <item x="34"/>
        <item x="26"/>
        <item x="24"/>
        <item x="23"/>
        <item x="75"/>
        <item x="3"/>
        <item x="61"/>
        <item x="71"/>
        <item x="17"/>
        <item x="5"/>
        <item x="66"/>
        <item x="22"/>
        <item x="56"/>
        <item x="42"/>
        <item x="52"/>
        <item x="63"/>
        <item x="74"/>
        <item x="15"/>
        <item x="0"/>
        <item x="36"/>
        <item x="28"/>
        <item x="72"/>
        <item x="73"/>
        <item x="9"/>
        <item x="30"/>
        <item t="default"/>
      </items>
    </pivotField>
    <pivotField showAll="0">
      <items count="5">
        <item x="1"/>
        <item x="2"/>
        <item x="0"/>
        <item x="3"/>
        <item t="default"/>
      </items>
    </pivotField>
    <pivotField axis="axisRow" showAll="0" measureFilter="1" sortType="ascending">
      <items count="8">
        <item x="4"/>
        <item x="0"/>
        <item x="3"/>
        <item x="2"/>
        <item x="6"/>
        <item x="5"/>
        <item x="1"/>
        <item t="default"/>
      </items>
      <autoSortScope>
        <pivotArea dataOnly="0" outline="0" fieldPosition="0">
          <references count="1">
            <reference field="4294967294" count="1" selected="0">
              <x v="0"/>
            </reference>
          </references>
        </pivotArea>
      </autoSortScope>
    </pivotField>
    <pivotField showAll="0">
      <items count="7">
        <item x="5"/>
        <item x="0"/>
        <item x="1"/>
        <item x="2"/>
        <item x="3"/>
        <item x="4"/>
        <item t="default"/>
      </items>
    </pivotField>
    <pivotField showAll="0"/>
    <pivotField showAll="0"/>
    <pivotField dataField="1" showAll="0" measureFilter="1">
      <items count="71">
        <item x="57"/>
        <item x="51"/>
        <item x="7"/>
        <item x="12"/>
        <item x="14"/>
        <item x="32"/>
        <item x="45"/>
        <item x="20"/>
        <item x="59"/>
        <item x="34"/>
        <item x="11"/>
        <item x="17"/>
        <item x="42"/>
        <item x="9"/>
        <item x="65"/>
        <item x="13"/>
        <item x="15"/>
        <item x="56"/>
        <item x="63"/>
        <item x="36"/>
        <item x="43"/>
        <item x="31"/>
        <item x="50"/>
        <item x="18"/>
        <item x="4"/>
        <item x="23"/>
        <item x="6"/>
        <item x="24"/>
        <item x="3"/>
        <item x="21"/>
        <item x="62"/>
        <item x="66"/>
        <item x="38"/>
        <item x="29"/>
        <item x="35"/>
        <item x="49"/>
        <item x="37"/>
        <item x="48"/>
        <item x="40"/>
        <item x="16"/>
        <item x="28"/>
        <item x="1"/>
        <item x="58"/>
        <item x="54"/>
        <item x="8"/>
        <item x="2"/>
        <item x="61"/>
        <item x="39"/>
        <item x="26"/>
        <item x="41"/>
        <item x="68"/>
        <item x="5"/>
        <item x="10"/>
        <item x="33"/>
        <item x="55"/>
        <item x="67"/>
        <item x="53"/>
        <item x="52"/>
        <item x="46"/>
        <item x="22"/>
        <item x="27"/>
        <item x="19"/>
        <item x="25"/>
        <item x="60"/>
        <item x="47"/>
        <item x="69"/>
        <item x="44"/>
        <item x="0"/>
        <item x="64"/>
        <item x="30"/>
        <item t="default"/>
      </items>
    </pivotField>
    <pivotField showAll="0">
      <items count="10">
        <item x="3"/>
        <item x="4"/>
        <item x="2"/>
        <item x="6"/>
        <item x="1"/>
        <item x="7"/>
        <item x="5"/>
        <item x="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v="2"/>
    </i>
    <i>
      <x/>
    </i>
    <i>
      <x v="5"/>
    </i>
    <i>
      <x v="6"/>
    </i>
    <i>
      <x v="1"/>
    </i>
    <i t="grand">
      <x/>
    </i>
  </rowItems>
  <colItems count="1">
    <i/>
  </colItems>
  <dataFields count="1">
    <dataField name="Sum of Total Sales" fld="6" showDataAs="percentOfTotal" baseField="0" baseItem="0" numFmtId="10"/>
  </dataFields>
  <formats count="3">
    <format dxfId="10">
      <pivotArea collapsedLevelsAreSubtotals="1" fieldPosition="0">
        <references count="1">
          <reference field="2" count="1">
            <x v="0"/>
          </reference>
        </references>
      </pivotArea>
    </format>
    <format dxfId="9">
      <pivotArea outline="0" collapsedLevelsAreSubtotals="1" fieldPosition="0"/>
    </format>
    <format dxfId="5">
      <pivotArea outline="0" fieldPosition="0">
        <references count="1">
          <reference field="4294967294" count="1">
            <x v="0"/>
          </reference>
        </references>
      </pivotArea>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2" iMeasureFld="0">
      <autoFilter ref="A1">
        <filterColumn colId="0">
          <top10 val="5" filterVal="5"/>
        </filterColumn>
      </autoFilter>
    </filter>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5D0892-5DE0-4816-8159-9A256D227293}" name="Revenue by Region"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7" firstHeaderRow="1" firstDataRow="1" firstDataCol="1"/>
  <pivotFields count="11">
    <pivotField numFmtId="164" showAll="0">
      <items count="77">
        <item x="46"/>
        <item x="50"/>
        <item x="29"/>
        <item x="55"/>
        <item x="59"/>
        <item x="35"/>
        <item x="43"/>
        <item x="25"/>
        <item x="48"/>
        <item x="45"/>
        <item x="4"/>
        <item x="2"/>
        <item x="65"/>
        <item x="16"/>
        <item x="8"/>
        <item x="13"/>
        <item x="49"/>
        <item x="27"/>
        <item x="32"/>
        <item x="7"/>
        <item x="67"/>
        <item x="53"/>
        <item x="38"/>
        <item x="69"/>
        <item x="44"/>
        <item x="20"/>
        <item x="11"/>
        <item x="18"/>
        <item x="37"/>
        <item x="39"/>
        <item x="33"/>
        <item x="47"/>
        <item x="68"/>
        <item x="57"/>
        <item x="31"/>
        <item x="21"/>
        <item x="58"/>
        <item x="40"/>
        <item x="62"/>
        <item x="64"/>
        <item x="19"/>
        <item x="41"/>
        <item x="1"/>
        <item x="70"/>
        <item x="54"/>
        <item x="14"/>
        <item x="10"/>
        <item x="12"/>
        <item x="51"/>
        <item x="60"/>
        <item x="6"/>
        <item x="34"/>
        <item x="26"/>
        <item x="24"/>
        <item x="23"/>
        <item x="75"/>
        <item x="3"/>
        <item x="61"/>
        <item x="71"/>
        <item x="17"/>
        <item x="5"/>
        <item x="66"/>
        <item x="22"/>
        <item x="56"/>
        <item x="42"/>
        <item x="52"/>
        <item x="63"/>
        <item x="74"/>
        <item x="15"/>
        <item x="0"/>
        <item x="36"/>
        <item x="28"/>
        <item x="72"/>
        <item x="73"/>
        <item x="9"/>
        <item x="30"/>
        <item t="default"/>
      </items>
    </pivotField>
    <pivotField axis="axisRow" showAll="0">
      <items count="5">
        <item x="1"/>
        <item x="2"/>
        <item x="0"/>
        <item x="3"/>
        <item t="default"/>
      </items>
    </pivotField>
    <pivotField showAll="0"/>
    <pivotField showAll="0">
      <items count="7">
        <item x="5"/>
        <item x="0"/>
        <item x="1"/>
        <item x="2"/>
        <item x="3"/>
        <item x="4"/>
        <item t="default"/>
      </items>
    </pivotField>
    <pivotField showAll="0"/>
    <pivotField showAll="0"/>
    <pivotField dataField="1" showAll="0"/>
    <pivotField showAll="0">
      <items count="10">
        <item x="3"/>
        <item x="4"/>
        <item x="2"/>
        <item x="6"/>
        <item x="1"/>
        <item x="7"/>
        <item x="5"/>
        <item x="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Sum of Total Sales" fld="6"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438988C6-013D-4C97-81CD-A697E150E9BB}" sourceName="Sales Rep">
  <pivotTables>
    <pivotTable tabId="4" name="Revenue by Category"/>
    <pivotTable tabId="4" name="PivotTable6"/>
    <pivotTable tabId="4" name="Revenue by Product"/>
    <pivotTable tabId="4" name="Revenue by Region"/>
    <pivotTable tabId="4" name="Sales Trend by Month"/>
  </pivotTables>
  <data>
    <tabular pivotCacheId="843601502">
      <items count="9">
        <i x="3" s="1"/>
        <i x="4" s="1"/>
        <i x="2" s="1"/>
        <i x="6" s="1"/>
        <i x="1" s="1"/>
        <i x="7" s="1"/>
        <i x="5" s="1"/>
        <i x="0" s="1"/>
        <i x="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6A712C-ED36-43AC-9AB9-5FB399CEB095}" sourceName="Category">
  <pivotTables>
    <pivotTable tabId="4" name="Revenue by Product"/>
    <pivotTable tabId="4" name="PivotTable6"/>
    <pivotTable tabId="4" name="Revenue by Category"/>
    <pivotTable tabId="4" name="Revenue by Region"/>
    <pivotTable tabId="4" name="Sales Trend by Month"/>
  </pivotTables>
  <data>
    <tabular pivotCacheId="843601502">
      <items count="6">
        <i x="5" s="1"/>
        <i x="0" s="1"/>
        <i x="1" s="1"/>
        <i x="2" s="1"/>
        <i x="3"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993DBA-F0A8-419E-8CAC-D1BACBF90BD6}" sourceName="Region">
  <pivotTables>
    <pivotTable tabId="4" name="Revenue by Region"/>
    <pivotTable tabId="4" name="PivotTable6"/>
    <pivotTable tabId="4" name="Revenue by Category"/>
    <pivotTable tabId="4" name="Revenue by Product"/>
    <pivotTable tabId="4" name="Sales Trend by Month"/>
  </pivotTables>
  <data>
    <tabular pivotCacheId="843601502">
      <items count="4">
        <i x="1" s="1"/>
        <i x="2" s="1"/>
        <i x="0"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42606DDE-D979-4BEE-A713-CC6235946A4F}" cache="Slicer_Sales_Rep" caption="Sales Rep" startItem="2" columnCount="2" showCaption="0" style="Slicer Style 6" rowHeight="228600"/>
  <slicer name="Sales Rep 1" xr10:uid="{938904F9-8222-4CE0-B417-70ED27920853}" cache="Slicer_Sales_Rep" caption="Sales Rep" columnCount="2" showCaption="0" style="Slicer Style 6" rowHeight="228600"/>
  <slicer name="Sales Rep 2" xr10:uid="{D743A5E0-1559-46A3-AB79-CA12A38C84AD}" cache="Slicer_Sales_Rep" caption="Sales Rep" columnCount="2" showCaption="0" style="Slicer Style 6" rowHeight="228600"/>
  <slicer name="Sales Rep 3" xr10:uid="{F1F98ECB-0B91-4DF2-9DC3-1B4000EA3E6E}" cache="Slicer_Sales_Rep" caption="Sales Rep" startItem="2" columnCount="2" showCaption="0" style="Slicer Style 6" rowHeight="228600"/>
  <slicer name="Category" xr10:uid="{522C17F5-8284-4B50-A21F-21678517DA48}" cache="Slicer_Category" caption="Category" columnCount="2" showCaption="0" style="Slicer Style 6" rowHeight="241300"/>
  <slicer name="Category 1" xr10:uid="{22E4B4B7-19D3-48A4-A752-4C9C9B1351A6}" cache="Slicer_Category" caption="Category" columnCount="2" showCaption="0" style="Slicer Style 6" rowHeight="241300"/>
  <slicer name="Category 2" xr10:uid="{DB66FD1F-EBBA-4442-9115-DD377BE5E173}" cache="Slicer_Category" caption="Category" columnCount="2" showCaption="0" style="Slicer Style 6" rowHeight="241300"/>
  <slicer name="Category 3" xr10:uid="{9F3541ED-F826-4ED4-85AB-0F0C37739D51}" cache="Slicer_Category" caption="Category" columnCount="2" showCaption="0" style="Slicer Style 6" rowHeight="241300"/>
  <slicer name="Region" xr10:uid="{978DAD2D-A7DA-426E-A1E9-495C5A6FF96E}" cache="Slicer_Region" caption="Region" startItem="3" showCaption="0" style="Slicer Style 6" rowHeight="241300"/>
  <slicer name="Region 1" xr10:uid="{23C7E10D-43E8-4817-B097-3FD02226FD71}" cache="Slicer_Region" caption="Region" startItem="3" showCaption="0" style="Slicer Style 6" rowHeight="241300"/>
  <slicer name="Region 2" xr10:uid="{407A9B33-8C40-4637-AD66-CF91B13FF8EF}" cache="Slicer_Region" caption="Region" startItem="3" showCaption="0" style="Slicer Style 6" rowHeight="241300"/>
  <slicer name="Region 3" xr10:uid="{D1003029-8F3B-4048-8E90-9C9A80C30A01}" cache="Slicer_Region" caption="Region" startItem="3" showCaption="0" style="Slicer Style 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15"/>
  <sheetViews>
    <sheetView zoomScale="90" zoomScaleNormal="90" workbookViewId="0"/>
  </sheetViews>
  <sheetFormatPr defaultColWidth="0" defaultRowHeight="15" zeroHeight="1" x14ac:dyDescent="0.25"/>
  <cols>
    <col min="1" max="1" width="3.42578125" style="4" customWidth="1"/>
    <col min="2" max="15" width="8.7109375" style="4" customWidth="1"/>
    <col min="16" max="16384" width="8.7109375" style="4" hidden="1"/>
  </cols>
  <sheetData>
    <row r="1" spans="2:14" x14ac:dyDescent="0.25"/>
    <row r="2" spans="2:14" ht="34.5" thickBot="1" x14ac:dyDescent="0.55000000000000004">
      <c r="B2" s="5" t="s">
        <v>32</v>
      </c>
      <c r="C2" s="6"/>
      <c r="D2" s="6"/>
      <c r="E2" s="6"/>
      <c r="F2" s="6"/>
      <c r="G2" s="6"/>
      <c r="H2" s="6"/>
      <c r="I2" s="6"/>
      <c r="J2" s="6"/>
      <c r="K2" s="6"/>
      <c r="L2" s="6"/>
      <c r="M2" s="6"/>
      <c r="N2" s="6"/>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
  <sheetViews>
    <sheetView zoomScaleNormal="100" workbookViewId="0">
      <pane ySplit="1" topLeftCell="A2" activePane="bottomLeft" state="frozen"/>
      <selection pane="bottomLeft"/>
    </sheetView>
  </sheetViews>
  <sheetFormatPr defaultRowHeight="15" x14ac:dyDescent="0.25"/>
  <cols>
    <col min="1" max="1" width="10.42578125" style="9" bestFit="1" customWidth="1"/>
    <col min="2" max="2" width="11.7109375" bestFit="1" customWidth="1"/>
    <col min="3" max="3" width="12.42578125" bestFit="1" customWidth="1"/>
    <col min="4" max="4" width="13.42578125" bestFit="1" customWidth="1"/>
    <col min="5" max="5" width="14.5703125" bestFit="1" customWidth="1"/>
    <col min="6" max="6" width="14.28515625" bestFit="1" customWidth="1"/>
    <col min="7" max="7" width="15" style="10" bestFit="1" customWidth="1"/>
    <col min="8" max="8" width="15.140625" bestFit="1" customWidth="1"/>
    <col min="9" max="9" width="17.42578125" bestFit="1" customWidth="1"/>
  </cols>
  <sheetData>
    <row r="1" spans="1:9" x14ac:dyDescent="0.25">
      <c r="A1" s="7" t="s">
        <v>0</v>
      </c>
      <c r="B1" s="2" t="s">
        <v>1</v>
      </c>
      <c r="C1" s="2" t="s">
        <v>2</v>
      </c>
      <c r="D1" s="2" t="s">
        <v>3</v>
      </c>
      <c r="E1" s="2" t="s">
        <v>4</v>
      </c>
      <c r="F1" s="2" t="s">
        <v>5</v>
      </c>
      <c r="G1" s="16" t="s">
        <v>49</v>
      </c>
      <c r="H1" s="2" t="s">
        <v>6</v>
      </c>
      <c r="I1" s="2" t="s">
        <v>7</v>
      </c>
    </row>
    <row r="2" spans="1:9" x14ac:dyDescent="0.25">
      <c r="A2" s="8">
        <v>45821</v>
      </c>
      <c r="B2" s="3" t="s">
        <v>8</v>
      </c>
      <c r="C2" s="3" t="s">
        <v>21</v>
      </c>
      <c r="D2" s="3" t="s">
        <v>22</v>
      </c>
      <c r="E2" s="1">
        <v>8</v>
      </c>
      <c r="F2" s="1">
        <v>2500000</v>
      </c>
      <c r="G2" s="17">
        <f>E2*F2</f>
        <v>20000000</v>
      </c>
      <c r="H2" s="1" t="s">
        <v>25</v>
      </c>
      <c r="I2" s="1" t="s">
        <v>42</v>
      </c>
    </row>
    <row r="3" spans="1:9" x14ac:dyDescent="0.25">
      <c r="A3" s="8">
        <v>45755</v>
      </c>
      <c r="B3" s="3" t="s">
        <v>17</v>
      </c>
      <c r="C3" s="3" t="s">
        <v>38</v>
      </c>
      <c r="D3" s="3" t="s">
        <v>24</v>
      </c>
      <c r="E3" s="1">
        <v>6</v>
      </c>
      <c r="F3" s="1">
        <v>350000</v>
      </c>
      <c r="G3" s="17">
        <f t="shared" ref="G3:G65" si="0">E3*F3</f>
        <v>2100000</v>
      </c>
      <c r="H3" s="1" t="s">
        <v>9</v>
      </c>
      <c r="I3" s="1" t="s">
        <v>10</v>
      </c>
    </row>
    <row r="4" spans="1:9" x14ac:dyDescent="0.25">
      <c r="A4" s="8">
        <v>45686</v>
      </c>
      <c r="B4" s="3" t="s">
        <v>14</v>
      </c>
      <c r="C4" s="3" t="s">
        <v>39</v>
      </c>
      <c r="D4" s="3" t="s">
        <v>11</v>
      </c>
      <c r="E4" s="1">
        <v>14</v>
      </c>
      <c r="F4" s="1">
        <v>180000</v>
      </c>
      <c r="G4" s="17">
        <f t="shared" si="0"/>
        <v>2520000</v>
      </c>
      <c r="H4" s="1" t="s">
        <v>29</v>
      </c>
      <c r="I4" s="1" t="s">
        <v>48</v>
      </c>
    </row>
    <row r="5" spans="1:9" x14ac:dyDescent="0.25">
      <c r="A5" s="8">
        <v>45794</v>
      </c>
      <c r="B5" s="3" t="s">
        <v>8</v>
      </c>
      <c r="C5" s="3" t="s">
        <v>36</v>
      </c>
      <c r="D5" s="3" t="s">
        <v>26</v>
      </c>
      <c r="E5" s="1">
        <v>18</v>
      </c>
      <c r="F5" s="1">
        <v>65000</v>
      </c>
      <c r="G5" s="17">
        <f t="shared" si="0"/>
        <v>1170000</v>
      </c>
      <c r="H5" s="1" t="s">
        <v>9</v>
      </c>
      <c r="I5" s="1" t="s">
        <v>44</v>
      </c>
    </row>
    <row r="6" spans="1:9" x14ac:dyDescent="0.25">
      <c r="A6" s="8">
        <v>45685</v>
      </c>
      <c r="B6" s="3" t="s">
        <v>12</v>
      </c>
      <c r="C6" s="3" t="s">
        <v>39</v>
      </c>
      <c r="D6" s="3" t="s">
        <v>11</v>
      </c>
      <c r="E6" s="1">
        <v>5</v>
      </c>
      <c r="F6" s="1">
        <v>180000</v>
      </c>
      <c r="G6" s="17">
        <f t="shared" si="0"/>
        <v>900000</v>
      </c>
      <c r="H6" s="1" t="s">
        <v>25</v>
      </c>
      <c r="I6" s="1" t="s">
        <v>30</v>
      </c>
    </row>
    <row r="7" spans="1:9" x14ac:dyDescent="0.25">
      <c r="A7" s="8">
        <v>45803</v>
      </c>
      <c r="B7" s="3" t="s">
        <v>17</v>
      </c>
      <c r="C7" s="3" t="s">
        <v>39</v>
      </c>
      <c r="D7" s="3" t="s">
        <v>11</v>
      </c>
      <c r="E7" s="1">
        <v>19</v>
      </c>
      <c r="F7" s="1">
        <v>157427</v>
      </c>
      <c r="G7" s="17">
        <f t="shared" si="0"/>
        <v>2991113</v>
      </c>
      <c r="H7" s="1" t="s">
        <v>9</v>
      </c>
      <c r="I7" s="1" t="s">
        <v>10</v>
      </c>
    </row>
    <row r="8" spans="1:9" x14ac:dyDescent="0.25">
      <c r="A8" s="8">
        <v>45783</v>
      </c>
      <c r="B8" s="3" t="s">
        <v>12</v>
      </c>
      <c r="C8" s="3" t="s">
        <v>38</v>
      </c>
      <c r="D8" s="3" t="s">
        <v>24</v>
      </c>
      <c r="E8" s="1">
        <v>3</v>
      </c>
      <c r="F8" s="1">
        <v>350000</v>
      </c>
      <c r="G8" s="17">
        <f t="shared" si="0"/>
        <v>1050000</v>
      </c>
      <c r="H8" s="1" t="s">
        <v>15</v>
      </c>
      <c r="I8" s="1" t="s">
        <v>30</v>
      </c>
    </row>
    <row r="9" spans="1:9" x14ac:dyDescent="0.25">
      <c r="A9" s="8">
        <v>45698</v>
      </c>
      <c r="B9" s="3" t="s">
        <v>12</v>
      </c>
      <c r="C9" s="3" t="s">
        <v>36</v>
      </c>
      <c r="D9" s="3" t="s">
        <v>26</v>
      </c>
      <c r="E9" s="1">
        <v>2</v>
      </c>
      <c r="F9" s="1">
        <v>65000</v>
      </c>
      <c r="G9" s="17">
        <f t="shared" si="0"/>
        <v>130000</v>
      </c>
      <c r="H9" s="1" t="s">
        <v>25</v>
      </c>
      <c r="I9" s="1" t="s">
        <v>10</v>
      </c>
    </row>
    <row r="10" spans="1:9" x14ac:dyDescent="0.25">
      <c r="A10" s="8">
        <v>45689</v>
      </c>
      <c r="B10" s="3" t="s">
        <v>17</v>
      </c>
      <c r="C10" s="3" t="s">
        <v>35</v>
      </c>
      <c r="D10" s="3" t="s">
        <v>19</v>
      </c>
      <c r="E10" s="1">
        <v>14</v>
      </c>
      <c r="F10" s="1">
        <v>175000</v>
      </c>
      <c r="G10" s="17">
        <f t="shared" si="0"/>
        <v>2450000</v>
      </c>
      <c r="H10" s="1" t="s">
        <v>29</v>
      </c>
      <c r="I10" s="1" t="s">
        <v>42</v>
      </c>
    </row>
    <row r="11" spans="1:9" x14ac:dyDescent="0.25">
      <c r="A11" s="8">
        <v>45836</v>
      </c>
      <c r="B11" s="3" t="s">
        <v>12</v>
      </c>
      <c r="C11" s="3" t="s">
        <v>18</v>
      </c>
      <c r="D11" s="3" t="s">
        <v>11</v>
      </c>
      <c r="E11" s="1">
        <v>4</v>
      </c>
      <c r="F11" s="1">
        <v>150000</v>
      </c>
      <c r="G11" s="17">
        <f t="shared" si="0"/>
        <v>600000</v>
      </c>
      <c r="H11" s="1" t="s">
        <v>25</v>
      </c>
      <c r="I11" s="1" t="s">
        <v>13</v>
      </c>
    </row>
    <row r="12" spans="1:9" x14ac:dyDescent="0.25">
      <c r="A12" s="8">
        <v>45765</v>
      </c>
      <c r="B12" s="3" t="s">
        <v>8</v>
      </c>
      <c r="C12" s="3" t="s">
        <v>18</v>
      </c>
      <c r="D12" s="3" t="s">
        <v>11</v>
      </c>
      <c r="E12" s="1">
        <v>20</v>
      </c>
      <c r="F12" s="1">
        <v>150000</v>
      </c>
      <c r="G12" s="17">
        <f t="shared" si="0"/>
        <v>3000000</v>
      </c>
      <c r="H12" s="1" t="s">
        <v>29</v>
      </c>
      <c r="I12" s="1" t="s">
        <v>10</v>
      </c>
    </row>
    <row r="13" spans="1:9" x14ac:dyDescent="0.25">
      <c r="A13" s="8">
        <v>45713</v>
      </c>
      <c r="B13" s="3" t="s">
        <v>14</v>
      </c>
      <c r="C13" s="3" t="s">
        <v>37</v>
      </c>
      <c r="D13" s="3" t="s">
        <v>27</v>
      </c>
      <c r="E13" s="1">
        <v>6</v>
      </c>
      <c r="F13" s="1">
        <v>85000</v>
      </c>
      <c r="G13" s="17">
        <f t="shared" si="0"/>
        <v>510000</v>
      </c>
      <c r="H13" s="1" t="s">
        <v>15</v>
      </c>
      <c r="I13" s="1" t="s">
        <v>16</v>
      </c>
    </row>
    <row r="14" spans="1:9" x14ac:dyDescent="0.25">
      <c r="A14" s="8">
        <v>45776</v>
      </c>
      <c r="B14" s="3" t="s">
        <v>12</v>
      </c>
      <c r="C14" s="3" t="s">
        <v>18</v>
      </c>
      <c r="D14" s="3" t="s">
        <v>11</v>
      </c>
      <c r="E14" s="1">
        <v>1</v>
      </c>
      <c r="F14" s="1">
        <v>150000</v>
      </c>
      <c r="G14" s="17">
        <f t="shared" si="0"/>
        <v>150000</v>
      </c>
      <c r="H14" s="1" t="s">
        <v>15</v>
      </c>
      <c r="I14" s="1" t="s">
        <v>45</v>
      </c>
    </row>
    <row r="15" spans="1:9" x14ac:dyDescent="0.25">
      <c r="A15" s="8">
        <v>45690</v>
      </c>
      <c r="B15" s="3" t="s">
        <v>17</v>
      </c>
      <c r="C15" s="3" t="s">
        <v>38</v>
      </c>
      <c r="D15" s="3" t="s">
        <v>24</v>
      </c>
      <c r="E15" s="1">
        <v>18</v>
      </c>
      <c r="F15" s="1">
        <v>35000</v>
      </c>
      <c r="G15" s="17">
        <f t="shared" si="0"/>
        <v>630000</v>
      </c>
      <c r="H15" s="1" t="s">
        <v>20</v>
      </c>
      <c r="I15" s="1" t="s">
        <v>43</v>
      </c>
    </row>
    <row r="16" spans="1:9" x14ac:dyDescent="0.25">
      <c r="A16" s="8">
        <v>45762</v>
      </c>
      <c r="B16" s="3" t="s">
        <v>8</v>
      </c>
      <c r="C16" s="3" t="s">
        <v>37</v>
      </c>
      <c r="D16" s="3" t="s">
        <v>27</v>
      </c>
      <c r="E16" s="1">
        <v>2</v>
      </c>
      <c r="F16" s="1">
        <v>85000</v>
      </c>
      <c r="G16" s="17">
        <f t="shared" si="0"/>
        <v>170000</v>
      </c>
      <c r="H16" s="1" t="s">
        <v>9</v>
      </c>
      <c r="I16" s="1" t="s">
        <v>42</v>
      </c>
    </row>
    <row r="17" spans="1:9" x14ac:dyDescent="0.25">
      <c r="A17" s="8">
        <v>45820</v>
      </c>
      <c r="B17" s="3" t="s">
        <v>17</v>
      </c>
      <c r="C17" s="3" t="s">
        <v>36</v>
      </c>
      <c r="D17" s="3" t="s">
        <v>26</v>
      </c>
      <c r="E17" s="1">
        <v>11</v>
      </c>
      <c r="F17" s="1">
        <v>62035</v>
      </c>
      <c r="G17" s="17">
        <f t="shared" si="0"/>
        <v>682385</v>
      </c>
      <c r="H17" s="1" t="s">
        <v>20</v>
      </c>
      <c r="I17" s="1" t="s">
        <v>46</v>
      </c>
    </row>
    <row r="18" spans="1:9" x14ac:dyDescent="0.25">
      <c r="A18" s="8">
        <v>45688</v>
      </c>
      <c r="B18" s="3" t="s">
        <v>17</v>
      </c>
      <c r="C18" s="3" t="s">
        <v>35</v>
      </c>
      <c r="D18" s="3" t="s">
        <v>19</v>
      </c>
      <c r="E18" s="1">
        <v>10</v>
      </c>
      <c r="F18" s="1">
        <v>175000</v>
      </c>
      <c r="G18" s="17">
        <f t="shared" si="0"/>
        <v>1750000</v>
      </c>
      <c r="H18" s="1" t="s">
        <v>29</v>
      </c>
      <c r="I18" s="1" t="s">
        <v>16</v>
      </c>
    </row>
    <row r="19" spans="1:9" x14ac:dyDescent="0.25">
      <c r="A19" s="8">
        <v>45690</v>
      </c>
      <c r="B19" s="3" t="s">
        <v>12</v>
      </c>
      <c r="C19" s="3" t="s">
        <v>18</v>
      </c>
      <c r="D19" s="3" t="s">
        <v>11</v>
      </c>
      <c r="E19" s="1">
        <v>4</v>
      </c>
      <c r="F19" s="1">
        <v>150000</v>
      </c>
      <c r="G19" s="17">
        <f t="shared" si="0"/>
        <v>600000</v>
      </c>
      <c r="H19" s="1" t="s">
        <v>31</v>
      </c>
      <c r="I19" s="1" t="s">
        <v>44</v>
      </c>
    </row>
    <row r="20" spans="1:9" x14ac:dyDescent="0.25">
      <c r="A20" s="8">
        <v>45802</v>
      </c>
      <c r="B20" s="3" t="s">
        <v>12</v>
      </c>
      <c r="C20" s="3" t="s">
        <v>35</v>
      </c>
      <c r="D20" s="3" t="s">
        <v>19</v>
      </c>
      <c r="E20" s="1">
        <v>3</v>
      </c>
      <c r="F20" s="1">
        <v>175000</v>
      </c>
      <c r="G20" s="17">
        <f t="shared" si="0"/>
        <v>525000</v>
      </c>
      <c r="H20" s="1" t="s">
        <v>40</v>
      </c>
      <c r="I20" s="1" t="s">
        <v>28</v>
      </c>
    </row>
    <row r="21" spans="1:9" x14ac:dyDescent="0.25">
      <c r="A21" s="8">
        <v>45714</v>
      </c>
      <c r="B21" s="3" t="s">
        <v>14</v>
      </c>
      <c r="C21" s="3" t="s">
        <v>35</v>
      </c>
      <c r="D21" s="3" t="s">
        <v>19</v>
      </c>
      <c r="E21" s="1">
        <v>5</v>
      </c>
      <c r="F21" s="1">
        <v>175000</v>
      </c>
      <c r="G21" s="17">
        <f t="shared" si="0"/>
        <v>875000</v>
      </c>
      <c r="H21" s="1" t="s">
        <v>20</v>
      </c>
      <c r="I21" s="1" t="s">
        <v>28</v>
      </c>
    </row>
    <row r="22" spans="1:9" x14ac:dyDescent="0.25">
      <c r="A22" s="8">
        <v>45753</v>
      </c>
      <c r="B22" s="3" t="s">
        <v>17</v>
      </c>
      <c r="C22" s="3" t="s">
        <v>21</v>
      </c>
      <c r="D22" s="3" t="s">
        <v>22</v>
      </c>
      <c r="E22" s="1">
        <v>20</v>
      </c>
      <c r="F22" s="1">
        <v>250000</v>
      </c>
      <c r="G22" s="17">
        <f t="shared" si="0"/>
        <v>5000000</v>
      </c>
      <c r="H22" s="1" t="s">
        <v>40</v>
      </c>
      <c r="I22" s="1" t="s">
        <v>10</v>
      </c>
    </row>
    <row r="23" spans="1:9" x14ac:dyDescent="0.25">
      <c r="A23" s="8">
        <v>45712</v>
      </c>
      <c r="B23" s="3" t="s">
        <v>17</v>
      </c>
      <c r="C23" s="3" t="s">
        <v>35</v>
      </c>
      <c r="D23" s="3" t="s">
        <v>19</v>
      </c>
      <c r="E23" s="1">
        <v>2</v>
      </c>
      <c r="F23" s="1">
        <v>175000</v>
      </c>
      <c r="G23" s="17">
        <f t="shared" si="0"/>
        <v>350000</v>
      </c>
      <c r="H23" s="1" t="s">
        <v>25</v>
      </c>
      <c r="I23" s="1" t="s">
        <v>43</v>
      </c>
    </row>
    <row r="24" spans="1:9" x14ac:dyDescent="0.25">
      <c r="A24" s="8">
        <v>45740</v>
      </c>
      <c r="B24" s="3" t="s">
        <v>17</v>
      </c>
      <c r="C24" s="3" t="s">
        <v>18</v>
      </c>
      <c r="D24" s="3" t="s">
        <v>11</v>
      </c>
      <c r="E24" s="1">
        <v>20</v>
      </c>
      <c r="F24" s="1">
        <v>150000</v>
      </c>
      <c r="G24" s="17">
        <f t="shared" si="0"/>
        <v>3000000</v>
      </c>
      <c r="H24" s="1" t="s">
        <v>29</v>
      </c>
      <c r="I24" s="1" t="s">
        <v>23</v>
      </c>
    </row>
    <row r="25" spans="1:9" x14ac:dyDescent="0.25">
      <c r="A25" s="8">
        <v>45805</v>
      </c>
      <c r="B25" s="3" t="s">
        <v>14</v>
      </c>
      <c r="C25" s="3" t="s">
        <v>18</v>
      </c>
      <c r="D25" s="3" t="s">
        <v>11</v>
      </c>
      <c r="E25" s="1">
        <v>8</v>
      </c>
      <c r="F25" s="1">
        <v>150000</v>
      </c>
      <c r="G25" s="17">
        <f t="shared" si="0"/>
        <v>1200000</v>
      </c>
      <c r="H25" s="1" t="s">
        <v>9</v>
      </c>
      <c r="I25" s="1" t="s">
        <v>16</v>
      </c>
    </row>
    <row r="26" spans="1:9" x14ac:dyDescent="0.25">
      <c r="A26" s="8">
        <v>45789</v>
      </c>
      <c r="B26" s="3" t="s">
        <v>12</v>
      </c>
      <c r="C26" s="3" t="s">
        <v>21</v>
      </c>
      <c r="D26" s="3" t="s">
        <v>22</v>
      </c>
      <c r="E26" s="1">
        <v>19</v>
      </c>
      <c r="F26" s="1">
        <v>250000</v>
      </c>
      <c r="G26" s="17">
        <f t="shared" si="0"/>
        <v>4750000</v>
      </c>
      <c r="H26" s="1" t="s">
        <v>40</v>
      </c>
      <c r="I26" s="1" t="s">
        <v>28</v>
      </c>
    </row>
    <row r="27" spans="1:9" x14ac:dyDescent="0.25">
      <c r="A27" s="8">
        <v>45788</v>
      </c>
      <c r="B27" s="3" t="s">
        <v>17</v>
      </c>
      <c r="C27" s="3" t="s">
        <v>35</v>
      </c>
      <c r="D27" s="3" t="s">
        <v>19</v>
      </c>
      <c r="E27" s="1">
        <v>12</v>
      </c>
      <c r="F27" s="1">
        <v>175000</v>
      </c>
      <c r="G27" s="17">
        <f t="shared" si="0"/>
        <v>2100000</v>
      </c>
      <c r="H27" s="1" t="s">
        <v>20</v>
      </c>
      <c r="I27" s="1" t="s">
        <v>16</v>
      </c>
    </row>
    <row r="28" spans="1:9" x14ac:dyDescent="0.25">
      <c r="A28" s="8">
        <v>45673</v>
      </c>
      <c r="B28" s="3" t="s">
        <v>14</v>
      </c>
      <c r="C28" s="3" t="s">
        <v>37</v>
      </c>
      <c r="D28" s="3" t="s">
        <v>27</v>
      </c>
      <c r="E28" s="1">
        <v>11</v>
      </c>
      <c r="F28" s="1">
        <v>85000</v>
      </c>
      <c r="G28" s="17">
        <f t="shared" si="0"/>
        <v>935000</v>
      </c>
      <c r="H28" s="1" t="s">
        <v>40</v>
      </c>
      <c r="I28" s="1" t="s">
        <v>28</v>
      </c>
    </row>
    <row r="29" spans="1:9" x14ac:dyDescent="0.25">
      <c r="A29" s="8">
        <v>45787</v>
      </c>
      <c r="B29" s="3" t="s">
        <v>14</v>
      </c>
      <c r="C29" s="3" t="s">
        <v>36</v>
      </c>
      <c r="D29" s="3" t="s">
        <v>26</v>
      </c>
      <c r="E29" s="1">
        <v>17</v>
      </c>
      <c r="F29" s="1">
        <v>65000</v>
      </c>
      <c r="G29" s="17">
        <f t="shared" si="0"/>
        <v>1105000</v>
      </c>
      <c r="H29" s="1" t="s">
        <v>20</v>
      </c>
      <c r="I29" s="1" t="s">
        <v>45</v>
      </c>
    </row>
    <row r="30" spans="1:9" x14ac:dyDescent="0.25">
      <c r="A30" s="8">
        <v>45689</v>
      </c>
      <c r="B30" s="3" t="s">
        <v>8</v>
      </c>
      <c r="C30" s="3" t="s">
        <v>38</v>
      </c>
      <c r="D30" s="3" t="s">
        <v>24</v>
      </c>
      <c r="E30" s="1">
        <v>15</v>
      </c>
      <c r="F30" s="1">
        <v>350000</v>
      </c>
      <c r="G30" s="17">
        <f t="shared" si="0"/>
        <v>5250000</v>
      </c>
      <c r="H30" s="1" t="s">
        <v>34</v>
      </c>
      <c r="I30" s="1" t="s">
        <v>48</v>
      </c>
    </row>
    <row r="31" spans="1:9" x14ac:dyDescent="0.25">
      <c r="A31" s="8">
        <v>45694</v>
      </c>
      <c r="B31" s="3" t="s">
        <v>12</v>
      </c>
      <c r="C31" s="3" t="s">
        <v>38</v>
      </c>
      <c r="D31" s="3" t="s">
        <v>24</v>
      </c>
      <c r="E31" s="1">
        <v>8</v>
      </c>
      <c r="F31" s="1">
        <v>350000</v>
      </c>
      <c r="G31" s="17">
        <f t="shared" si="0"/>
        <v>2800000</v>
      </c>
      <c r="H31" s="1" t="s">
        <v>25</v>
      </c>
      <c r="I31" s="1" t="s">
        <v>28</v>
      </c>
    </row>
    <row r="32" spans="1:9" x14ac:dyDescent="0.25">
      <c r="A32" s="8">
        <v>45825</v>
      </c>
      <c r="B32" s="3" t="s">
        <v>12</v>
      </c>
      <c r="C32" s="3" t="s">
        <v>38</v>
      </c>
      <c r="D32" s="3" t="s">
        <v>24</v>
      </c>
      <c r="E32" s="1">
        <v>14</v>
      </c>
      <c r="F32" s="1">
        <v>350000</v>
      </c>
      <c r="G32" s="17">
        <f t="shared" si="0"/>
        <v>4900000</v>
      </c>
      <c r="H32" s="1" t="s">
        <v>20</v>
      </c>
      <c r="I32" s="1" t="s">
        <v>47</v>
      </c>
    </row>
    <row r="33" spans="1:9" x14ac:dyDescent="0.25">
      <c r="A33" s="8">
        <v>45666</v>
      </c>
      <c r="B33" s="3" t="s">
        <v>17</v>
      </c>
      <c r="C33" s="3" t="s">
        <v>18</v>
      </c>
      <c r="D33" s="3" t="s">
        <v>11</v>
      </c>
      <c r="E33" s="1">
        <v>12</v>
      </c>
      <c r="F33" s="1">
        <v>150000</v>
      </c>
      <c r="G33" s="17">
        <f t="shared" si="0"/>
        <v>1800000</v>
      </c>
      <c r="H33" s="1" t="s">
        <v>29</v>
      </c>
      <c r="I33" s="1" t="s">
        <v>13</v>
      </c>
    </row>
    <row r="34" spans="1:9" x14ac:dyDescent="0.25">
      <c r="A34" s="8">
        <v>45837</v>
      </c>
      <c r="B34" s="3" t="s">
        <v>14</v>
      </c>
      <c r="C34" s="3" t="s">
        <v>35</v>
      </c>
      <c r="D34" s="3" t="s">
        <v>19</v>
      </c>
      <c r="E34" s="1">
        <v>8</v>
      </c>
      <c r="F34" s="1">
        <v>175000</v>
      </c>
      <c r="G34" s="17">
        <f t="shared" si="0"/>
        <v>1400000</v>
      </c>
      <c r="H34" s="1" t="s">
        <v>25</v>
      </c>
      <c r="I34" s="1" t="s">
        <v>13</v>
      </c>
    </row>
    <row r="35" spans="1:9" x14ac:dyDescent="0.25">
      <c r="A35" s="8">
        <v>45735</v>
      </c>
      <c r="B35" s="3" t="s">
        <v>8</v>
      </c>
      <c r="C35" s="3" t="s">
        <v>18</v>
      </c>
      <c r="D35" s="3" t="s">
        <v>11</v>
      </c>
      <c r="E35" s="1">
        <v>6</v>
      </c>
      <c r="F35" s="1">
        <v>150000</v>
      </c>
      <c r="G35" s="17">
        <f t="shared" si="0"/>
        <v>900000</v>
      </c>
      <c r="H35" s="1" t="s">
        <v>25</v>
      </c>
      <c r="I35" s="1" t="s">
        <v>28</v>
      </c>
    </row>
    <row r="36" spans="1:9" x14ac:dyDescent="0.25">
      <c r="A36" s="8">
        <v>45694</v>
      </c>
      <c r="B36" s="3" t="s">
        <v>12</v>
      </c>
      <c r="C36" s="3" t="s">
        <v>21</v>
      </c>
      <c r="D36" s="3" t="s">
        <v>22</v>
      </c>
      <c r="E36" s="1">
        <v>20</v>
      </c>
      <c r="F36" s="1">
        <v>2500000</v>
      </c>
      <c r="G36" s="17">
        <f t="shared" si="0"/>
        <v>50000000</v>
      </c>
      <c r="H36" s="1" t="s">
        <v>25</v>
      </c>
      <c r="I36" s="1" t="s">
        <v>16</v>
      </c>
    </row>
    <row r="37" spans="1:9" x14ac:dyDescent="0.25">
      <c r="A37" s="8">
        <v>45753</v>
      </c>
      <c r="B37" s="3" t="s">
        <v>8</v>
      </c>
      <c r="C37" s="3" t="s">
        <v>36</v>
      </c>
      <c r="D37" s="3" t="s">
        <v>26</v>
      </c>
      <c r="E37" s="1">
        <v>12</v>
      </c>
      <c r="F37" s="1">
        <v>65000</v>
      </c>
      <c r="G37" s="17">
        <f t="shared" si="0"/>
        <v>780000</v>
      </c>
      <c r="H37" s="1" t="s">
        <v>25</v>
      </c>
      <c r="I37" s="1" t="s">
        <v>23</v>
      </c>
    </row>
    <row r="38" spans="1:9" x14ac:dyDescent="0.25">
      <c r="A38" s="8">
        <v>45695</v>
      </c>
      <c r="B38" s="3" t="s">
        <v>8</v>
      </c>
      <c r="C38" s="3" t="s">
        <v>36</v>
      </c>
      <c r="D38" s="3" t="s">
        <v>26</v>
      </c>
      <c r="E38" s="1">
        <v>4</v>
      </c>
      <c r="F38" s="1">
        <v>73740</v>
      </c>
      <c r="G38" s="17">
        <f t="shared" si="0"/>
        <v>294960</v>
      </c>
      <c r="H38" s="1" t="s">
        <v>31</v>
      </c>
      <c r="I38" s="1" t="s">
        <v>47</v>
      </c>
    </row>
    <row r="39" spans="1:9" x14ac:dyDescent="0.25">
      <c r="A39" s="8">
        <v>45723</v>
      </c>
      <c r="B39" s="3" t="s">
        <v>17</v>
      </c>
      <c r="C39" s="3" t="s">
        <v>35</v>
      </c>
      <c r="D39" s="3" t="s">
        <v>19</v>
      </c>
      <c r="E39" s="1">
        <v>18</v>
      </c>
      <c r="F39" s="1">
        <v>175000</v>
      </c>
      <c r="G39" s="17">
        <f t="shared" si="0"/>
        <v>3150000</v>
      </c>
      <c r="H39" s="1" t="s">
        <v>40</v>
      </c>
      <c r="I39" s="1" t="s">
        <v>42</v>
      </c>
    </row>
    <row r="40" spans="1:9" x14ac:dyDescent="0.25">
      <c r="A40" s="8">
        <v>45784</v>
      </c>
      <c r="B40" s="3" t="s">
        <v>14</v>
      </c>
      <c r="C40" s="3" t="s">
        <v>39</v>
      </c>
      <c r="D40" s="3" t="s">
        <v>11</v>
      </c>
      <c r="E40" s="1">
        <v>10</v>
      </c>
      <c r="F40" s="1">
        <v>180000</v>
      </c>
      <c r="G40" s="17">
        <f t="shared" si="0"/>
        <v>1800000</v>
      </c>
      <c r="H40" s="1" t="s">
        <v>31</v>
      </c>
      <c r="I40" s="1" t="s">
        <v>30</v>
      </c>
    </row>
    <row r="41" spans="1:9" x14ac:dyDescent="0.25">
      <c r="A41" s="8">
        <v>45713</v>
      </c>
      <c r="B41" s="3" t="s">
        <v>14</v>
      </c>
      <c r="C41" s="3" t="s">
        <v>18</v>
      </c>
      <c r="D41" s="3" t="s">
        <v>11</v>
      </c>
      <c r="E41" s="1">
        <v>3</v>
      </c>
      <c r="F41" s="1">
        <v>150000</v>
      </c>
      <c r="G41" s="17">
        <f t="shared" si="0"/>
        <v>450000</v>
      </c>
      <c r="H41" s="1" t="s">
        <v>31</v>
      </c>
      <c r="I41" s="1" t="s">
        <v>47</v>
      </c>
    </row>
    <row r="42" spans="1:9" x14ac:dyDescent="0.25">
      <c r="A42" s="8">
        <v>45670</v>
      </c>
      <c r="B42" s="3" t="s">
        <v>8</v>
      </c>
      <c r="C42" s="3" t="s">
        <v>39</v>
      </c>
      <c r="D42" s="3" t="s">
        <v>11</v>
      </c>
      <c r="E42" s="1">
        <v>8</v>
      </c>
      <c r="F42" s="1">
        <v>180000</v>
      </c>
      <c r="G42" s="17">
        <f t="shared" si="0"/>
        <v>1440000</v>
      </c>
      <c r="H42" s="1" t="s">
        <v>15</v>
      </c>
      <c r="I42" s="1" t="s">
        <v>16</v>
      </c>
    </row>
    <row r="43" spans="1:9" x14ac:dyDescent="0.25">
      <c r="A43" s="8">
        <v>45823</v>
      </c>
      <c r="B43" s="3" t="s">
        <v>8</v>
      </c>
      <c r="C43" s="3" t="s">
        <v>21</v>
      </c>
      <c r="D43" s="3" t="s">
        <v>22</v>
      </c>
      <c r="E43" s="1">
        <v>3</v>
      </c>
      <c r="F43" s="1">
        <v>250000</v>
      </c>
      <c r="G43" s="17">
        <f t="shared" si="0"/>
        <v>750000</v>
      </c>
      <c r="H43" s="1" t="s">
        <v>31</v>
      </c>
      <c r="I43" s="1" t="s">
        <v>30</v>
      </c>
    </row>
    <row r="44" spans="1:9" x14ac:dyDescent="0.25">
      <c r="A44" s="8">
        <v>45716</v>
      </c>
      <c r="B44" s="3" t="s">
        <v>17</v>
      </c>
      <c r="C44" s="3" t="s">
        <v>37</v>
      </c>
      <c r="D44" s="3" t="s">
        <v>27</v>
      </c>
      <c r="E44" s="1">
        <v>18</v>
      </c>
      <c r="F44" s="1">
        <v>85000</v>
      </c>
      <c r="G44" s="17">
        <f t="shared" si="0"/>
        <v>1530000</v>
      </c>
      <c r="H44" s="1" t="s">
        <v>9</v>
      </c>
      <c r="I44" s="1" t="s">
        <v>13</v>
      </c>
    </row>
    <row r="45" spans="1:9" x14ac:dyDescent="0.25">
      <c r="A45" s="8">
        <v>45707</v>
      </c>
      <c r="B45" s="3" t="s">
        <v>12</v>
      </c>
      <c r="C45" s="3" t="s">
        <v>18</v>
      </c>
      <c r="D45" s="3" t="s">
        <v>11</v>
      </c>
      <c r="E45" s="1">
        <v>9</v>
      </c>
      <c r="F45" s="1">
        <v>150000</v>
      </c>
      <c r="G45" s="17">
        <f t="shared" si="0"/>
        <v>1350000</v>
      </c>
      <c r="H45" s="1" t="s">
        <v>31</v>
      </c>
      <c r="I45" s="1" t="s">
        <v>45</v>
      </c>
    </row>
    <row r="46" spans="1:9" x14ac:dyDescent="0.25">
      <c r="A46" s="8">
        <v>45719</v>
      </c>
      <c r="B46" s="3" t="s">
        <v>17</v>
      </c>
      <c r="C46" s="3" t="s">
        <v>18</v>
      </c>
      <c r="D46" s="3" t="s">
        <v>11</v>
      </c>
      <c r="E46" s="1">
        <v>18</v>
      </c>
      <c r="F46" s="1">
        <v>150000</v>
      </c>
      <c r="G46" s="17">
        <f t="shared" si="0"/>
        <v>2700000</v>
      </c>
      <c r="H46" s="1" t="s">
        <v>29</v>
      </c>
      <c r="I46" s="1" t="s">
        <v>13</v>
      </c>
    </row>
    <row r="47" spans="1:9" x14ac:dyDescent="0.25">
      <c r="A47" s="8">
        <v>45748</v>
      </c>
      <c r="B47" s="3" t="s">
        <v>12</v>
      </c>
      <c r="C47" s="3" t="s">
        <v>18</v>
      </c>
      <c r="D47" s="3" t="s">
        <v>11</v>
      </c>
      <c r="E47" s="1">
        <v>11</v>
      </c>
      <c r="F47" s="1">
        <v>150000</v>
      </c>
      <c r="G47" s="17">
        <f t="shared" si="0"/>
        <v>1650000</v>
      </c>
      <c r="H47" s="1" t="s">
        <v>31</v>
      </c>
      <c r="I47" s="1" t="s">
        <v>30</v>
      </c>
    </row>
    <row r="48" spans="1:9" x14ac:dyDescent="0.25">
      <c r="A48" s="8">
        <v>45754</v>
      </c>
      <c r="B48" s="3" t="s">
        <v>8</v>
      </c>
      <c r="C48" s="3" t="s">
        <v>38</v>
      </c>
      <c r="D48" s="3" t="s">
        <v>24</v>
      </c>
      <c r="E48" s="1">
        <v>4</v>
      </c>
      <c r="F48" s="1">
        <v>350000</v>
      </c>
      <c r="G48" s="17">
        <f t="shared" si="0"/>
        <v>1400000</v>
      </c>
      <c r="H48" s="1" t="s">
        <v>40</v>
      </c>
      <c r="I48" s="1" t="s">
        <v>44</v>
      </c>
    </row>
    <row r="49" spans="1:9" x14ac:dyDescent="0.25">
      <c r="A49" s="8">
        <v>45714</v>
      </c>
      <c r="B49" s="3" t="s">
        <v>8</v>
      </c>
      <c r="C49" s="3" t="s">
        <v>18</v>
      </c>
      <c r="D49" s="3" t="s">
        <v>11</v>
      </c>
      <c r="E49" s="1">
        <v>19</v>
      </c>
      <c r="F49" s="1">
        <v>150000</v>
      </c>
      <c r="G49" s="17">
        <f t="shared" si="0"/>
        <v>2850000</v>
      </c>
      <c r="H49" s="1" t="s">
        <v>33</v>
      </c>
      <c r="I49" s="1" t="s">
        <v>45</v>
      </c>
    </row>
    <row r="50" spans="1:9" x14ac:dyDescent="0.25">
      <c r="A50" s="8">
        <v>45809</v>
      </c>
      <c r="B50" s="3" t="s">
        <v>17</v>
      </c>
      <c r="C50" s="3" t="s">
        <v>37</v>
      </c>
      <c r="D50" s="3" t="s">
        <v>27</v>
      </c>
      <c r="E50" s="1">
        <v>7</v>
      </c>
      <c r="F50" s="1">
        <v>85000</v>
      </c>
      <c r="G50" s="17">
        <f t="shared" si="0"/>
        <v>595000</v>
      </c>
      <c r="H50" s="1" t="s">
        <v>15</v>
      </c>
      <c r="I50" s="1" t="s">
        <v>42</v>
      </c>
    </row>
    <row r="51" spans="1:9" x14ac:dyDescent="0.25">
      <c r="A51" s="8">
        <v>45671</v>
      </c>
      <c r="B51" s="3" t="s">
        <v>12</v>
      </c>
      <c r="C51" s="3" t="s">
        <v>36</v>
      </c>
      <c r="D51" s="3" t="s">
        <v>26</v>
      </c>
      <c r="E51" s="1">
        <v>13</v>
      </c>
      <c r="F51" s="1">
        <v>57912</v>
      </c>
      <c r="G51" s="17">
        <f t="shared" si="0"/>
        <v>752856</v>
      </c>
      <c r="H51" s="1" t="s">
        <v>29</v>
      </c>
      <c r="I51" s="1" t="s">
        <v>28</v>
      </c>
    </row>
    <row r="52" spans="1:9" x14ac:dyDescent="0.25">
      <c r="A52" s="8">
        <v>45710</v>
      </c>
      <c r="B52" s="3" t="s">
        <v>17</v>
      </c>
      <c r="C52" s="3" t="s">
        <v>36</v>
      </c>
      <c r="D52" s="3" t="s">
        <v>26</v>
      </c>
      <c r="E52" s="1">
        <v>18</v>
      </c>
      <c r="F52" s="1">
        <v>650000</v>
      </c>
      <c r="G52" s="17">
        <f t="shared" si="0"/>
        <v>11700000</v>
      </c>
      <c r="H52" s="1" t="s">
        <v>40</v>
      </c>
      <c r="I52" s="1" t="s">
        <v>44</v>
      </c>
    </row>
    <row r="53" spans="1:9" x14ac:dyDescent="0.25">
      <c r="A53" s="8">
        <v>45740</v>
      </c>
      <c r="B53" s="3" t="s">
        <v>12</v>
      </c>
      <c r="C53" s="3" t="s">
        <v>36</v>
      </c>
      <c r="D53" s="3" t="s">
        <v>26</v>
      </c>
      <c r="E53" s="1">
        <v>5</v>
      </c>
      <c r="F53" s="1">
        <v>65000</v>
      </c>
      <c r="G53" s="17">
        <f t="shared" si="0"/>
        <v>325000</v>
      </c>
      <c r="H53" s="1" t="s">
        <v>15</v>
      </c>
      <c r="I53" s="1" t="s">
        <v>45</v>
      </c>
    </row>
    <row r="54" spans="1:9" x14ac:dyDescent="0.25">
      <c r="A54" s="8">
        <v>45684</v>
      </c>
      <c r="B54" s="3" t="s">
        <v>8</v>
      </c>
      <c r="C54" s="3" t="s">
        <v>38</v>
      </c>
      <c r="D54" s="3" t="s">
        <v>24</v>
      </c>
      <c r="E54" s="1">
        <v>13</v>
      </c>
      <c r="F54" s="1">
        <v>350000</v>
      </c>
      <c r="G54" s="17">
        <f t="shared" si="0"/>
        <v>4550000</v>
      </c>
      <c r="H54" s="1" t="s">
        <v>20</v>
      </c>
      <c r="I54" s="1" t="s">
        <v>28</v>
      </c>
    </row>
    <row r="55" spans="1:9" x14ac:dyDescent="0.25">
      <c r="A55" s="8">
        <v>45661</v>
      </c>
      <c r="B55" s="3" t="s">
        <v>12</v>
      </c>
      <c r="C55" s="3" t="s">
        <v>38</v>
      </c>
      <c r="D55" s="3" t="s">
        <v>24</v>
      </c>
      <c r="E55" s="1">
        <v>19</v>
      </c>
      <c r="F55" s="1">
        <v>350000</v>
      </c>
      <c r="G55" s="17">
        <f t="shared" si="0"/>
        <v>6650000</v>
      </c>
      <c r="H55" s="1" t="s">
        <v>9</v>
      </c>
      <c r="I55" s="1" t="s">
        <v>44</v>
      </c>
    </row>
    <row r="56" spans="1:9" x14ac:dyDescent="0.25">
      <c r="A56" s="8">
        <v>45724</v>
      </c>
      <c r="B56" s="3" t="s">
        <v>14</v>
      </c>
      <c r="C56" s="3" t="s">
        <v>39</v>
      </c>
      <c r="D56" s="3" t="s">
        <v>11</v>
      </c>
      <c r="E56" s="1">
        <v>9</v>
      </c>
      <c r="F56" s="1">
        <v>180000</v>
      </c>
      <c r="G56" s="17">
        <f t="shared" si="0"/>
        <v>1620000</v>
      </c>
      <c r="H56" s="1" t="s">
        <v>15</v>
      </c>
      <c r="I56" s="1" t="s">
        <v>41</v>
      </c>
    </row>
    <row r="57" spans="1:9" x14ac:dyDescent="0.25">
      <c r="A57" s="8">
        <v>45680</v>
      </c>
      <c r="B57" s="3" t="s">
        <v>17</v>
      </c>
      <c r="C57" s="3" t="s">
        <v>18</v>
      </c>
      <c r="D57" s="3" t="s">
        <v>11</v>
      </c>
      <c r="E57" s="1">
        <v>10</v>
      </c>
      <c r="F57" s="1">
        <v>150000</v>
      </c>
      <c r="G57" s="17">
        <f t="shared" si="0"/>
        <v>1500000</v>
      </c>
      <c r="H57" s="1" t="s">
        <v>20</v>
      </c>
      <c r="I57" s="1" t="s">
        <v>23</v>
      </c>
    </row>
    <row r="58" spans="1:9" x14ac:dyDescent="0.25">
      <c r="A58" s="8">
        <v>45673</v>
      </c>
      <c r="B58" s="3" t="s">
        <v>17</v>
      </c>
      <c r="C58" s="3" t="s">
        <v>37</v>
      </c>
      <c r="D58" s="3" t="s">
        <v>27</v>
      </c>
      <c r="E58" s="1">
        <v>10</v>
      </c>
      <c r="F58" s="1">
        <v>85000</v>
      </c>
      <c r="G58" s="17">
        <f t="shared" si="0"/>
        <v>850000</v>
      </c>
      <c r="H58" s="1" t="s">
        <v>15</v>
      </c>
      <c r="I58" s="1" t="s">
        <v>45</v>
      </c>
    </row>
    <row r="59" spans="1:9" x14ac:dyDescent="0.25">
      <c r="A59" s="8">
        <v>45693</v>
      </c>
      <c r="B59" s="3" t="s">
        <v>8</v>
      </c>
      <c r="C59" s="3" t="s">
        <v>21</v>
      </c>
      <c r="D59" s="3" t="s">
        <v>22</v>
      </c>
      <c r="E59" s="1">
        <v>5</v>
      </c>
      <c r="F59" s="1">
        <v>25000</v>
      </c>
      <c r="G59" s="17">
        <f t="shared" si="0"/>
        <v>125000</v>
      </c>
      <c r="H59" s="1" t="s">
        <v>15</v>
      </c>
      <c r="I59" s="1" t="s">
        <v>48</v>
      </c>
    </row>
    <row r="60" spans="1:9" x14ac:dyDescent="0.25">
      <c r="A60" s="8">
        <v>45802</v>
      </c>
      <c r="B60" s="3" t="s">
        <v>17</v>
      </c>
      <c r="C60" s="3" t="s">
        <v>18</v>
      </c>
      <c r="D60" s="3" t="s">
        <v>11</v>
      </c>
      <c r="E60" s="1">
        <v>1</v>
      </c>
      <c r="F60" s="1">
        <v>150000</v>
      </c>
      <c r="G60" s="17">
        <f t="shared" si="0"/>
        <v>150000</v>
      </c>
      <c r="H60" s="1" t="s">
        <v>40</v>
      </c>
      <c r="I60" s="1" t="s">
        <v>10</v>
      </c>
    </row>
    <row r="61" spans="1:9" x14ac:dyDescent="0.25">
      <c r="A61" s="8">
        <v>45663</v>
      </c>
      <c r="B61" s="3" t="s">
        <v>8</v>
      </c>
      <c r="C61" s="3" t="s">
        <v>18</v>
      </c>
      <c r="D61" s="3" t="s">
        <v>11</v>
      </c>
      <c r="E61" s="1">
        <v>20</v>
      </c>
      <c r="F61" s="1">
        <v>150000</v>
      </c>
      <c r="G61" s="17">
        <f t="shared" si="0"/>
        <v>3000000</v>
      </c>
      <c r="H61" s="1" t="s">
        <v>15</v>
      </c>
      <c r="I61" s="1" t="s">
        <v>43</v>
      </c>
    </row>
    <row r="62" spans="1:9" x14ac:dyDescent="0.25">
      <c r="A62" s="8">
        <v>45694</v>
      </c>
      <c r="B62" s="3" t="s">
        <v>8</v>
      </c>
      <c r="C62" s="3" t="s">
        <v>38</v>
      </c>
      <c r="D62" s="3" t="s">
        <v>24</v>
      </c>
      <c r="E62" s="1">
        <v>11</v>
      </c>
      <c r="F62" s="1">
        <v>350000</v>
      </c>
      <c r="G62" s="17">
        <f t="shared" si="0"/>
        <v>3850000</v>
      </c>
      <c r="H62" s="1" t="s">
        <v>20</v>
      </c>
      <c r="I62" s="1" t="s">
        <v>46</v>
      </c>
    </row>
    <row r="63" spans="1:9" x14ac:dyDescent="0.25">
      <c r="A63" s="8">
        <v>45671</v>
      </c>
      <c r="B63" s="3" t="s">
        <v>17</v>
      </c>
      <c r="C63" s="3" t="s">
        <v>21</v>
      </c>
      <c r="D63" s="3" t="s">
        <v>22</v>
      </c>
      <c r="E63" s="1">
        <v>14</v>
      </c>
      <c r="F63" s="1">
        <v>250000</v>
      </c>
      <c r="G63" s="17">
        <f t="shared" si="0"/>
        <v>3500000</v>
      </c>
      <c r="H63" s="1" t="s">
        <v>20</v>
      </c>
      <c r="I63" s="1" t="s">
        <v>30</v>
      </c>
    </row>
    <row r="64" spans="1:9" x14ac:dyDescent="0.25">
      <c r="A64" s="8">
        <v>45779</v>
      </c>
      <c r="B64" s="3" t="s">
        <v>12</v>
      </c>
      <c r="C64" s="3" t="s">
        <v>18</v>
      </c>
      <c r="D64" s="3" t="s">
        <v>11</v>
      </c>
      <c r="E64" s="1">
        <v>3</v>
      </c>
      <c r="F64" s="1">
        <v>150000</v>
      </c>
      <c r="G64" s="17">
        <f t="shared" si="0"/>
        <v>450000</v>
      </c>
      <c r="H64" s="1" t="s">
        <v>15</v>
      </c>
      <c r="I64" s="1" t="s">
        <v>42</v>
      </c>
    </row>
    <row r="65" spans="1:9" x14ac:dyDescent="0.25">
      <c r="A65" s="8">
        <v>45825</v>
      </c>
      <c r="B65" s="3" t="s">
        <v>17</v>
      </c>
      <c r="C65" s="3" t="s">
        <v>37</v>
      </c>
      <c r="D65" s="3" t="s">
        <v>27</v>
      </c>
      <c r="E65" s="1">
        <v>6</v>
      </c>
      <c r="F65" s="1">
        <v>85000</v>
      </c>
      <c r="G65" s="17">
        <f t="shared" si="0"/>
        <v>510000</v>
      </c>
      <c r="H65" s="1" t="s">
        <v>29</v>
      </c>
      <c r="I65" s="1" t="s">
        <v>43</v>
      </c>
    </row>
    <row r="66" spans="1:9" x14ac:dyDescent="0.25">
      <c r="A66" s="8">
        <v>45670</v>
      </c>
      <c r="B66" s="3" t="s">
        <v>12</v>
      </c>
      <c r="C66" s="3" t="s">
        <v>38</v>
      </c>
      <c r="D66" s="3" t="s">
        <v>24</v>
      </c>
      <c r="E66" s="1">
        <v>15</v>
      </c>
      <c r="F66" s="1">
        <v>350000</v>
      </c>
      <c r="G66" s="17">
        <f t="shared" ref="G66:G100" si="1">E66*F66</f>
        <v>5250000</v>
      </c>
      <c r="H66" s="1" t="s">
        <v>20</v>
      </c>
      <c r="I66" s="1" t="s">
        <v>46</v>
      </c>
    </row>
    <row r="67" spans="1:9" x14ac:dyDescent="0.25">
      <c r="A67" s="8">
        <v>45810</v>
      </c>
      <c r="B67" s="3" t="s">
        <v>14</v>
      </c>
      <c r="C67" s="3" t="s">
        <v>18</v>
      </c>
      <c r="D67" s="3" t="s">
        <v>11</v>
      </c>
      <c r="E67" s="1">
        <v>16</v>
      </c>
      <c r="F67" s="1">
        <v>150000</v>
      </c>
      <c r="G67" s="17">
        <f t="shared" si="1"/>
        <v>2400000</v>
      </c>
      <c r="H67" s="1" t="s">
        <v>9</v>
      </c>
      <c r="I67" s="1" t="s">
        <v>30</v>
      </c>
    </row>
    <row r="68" spans="1:9" x14ac:dyDescent="0.25">
      <c r="A68" s="8">
        <v>45704</v>
      </c>
      <c r="B68" s="3" t="s">
        <v>17</v>
      </c>
      <c r="C68" s="3" t="s">
        <v>35</v>
      </c>
      <c r="D68" s="3" t="s">
        <v>19</v>
      </c>
      <c r="E68" s="1">
        <v>8</v>
      </c>
      <c r="F68" s="1">
        <v>175000</v>
      </c>
      <c r="G68" s="17">
        <f t="shared" si="1"/>
        <v>1400000</v>
      </c>
      <c r="H68" s="1" t="s">
        <v>25</v>
      </c>
      <c r="I68" s="1" t="s">
        <v>42</v>
      </c>
    </row>
    <row r="69" spans="1:9" x14ac:dyDescent="0.25">
      <c r="A69" s="8">
        <v>45761</v>
      </c>
      <c r="B69" s="3" t="s">
        <v>8</v>
      </c>
      <c r="C69" s="3" t="s">
        <v>37</v>
      </c>
      <c r="D69" s="3" t="s">
        <v>27</v>
      </c>
      <c r="E69" s="1">
        <v>2</v>
      </c>
      <c r="F69" s="1">
        <v>85000</v>
      </c>
      <c r="G69" s="17">
        <f t="shared" si="1"/>
        <v>170000</v>
      </c>
      <c r="H69" s="1" t="s">
        <v>20</v>
      </c>
      <c r="I69" s="1" t="s">
        <v>45</v>
      </c>
    </row>
    <row r="70" spans="1:9" x14ac:dyDescent="0.25">
      <c r="A70" s="8">
        <v>45663</v>
      </c>
      <c r="B70" s="3" t="s">
        <v>14</v>
      </c>
      <c r="C70" s="3" t="s">
        <v>21</v>
      </c>
      <c r="D70" s="3" t="s">
        <v>22</v>
      </c>
      <c r="E70" s="1">
        <v>13</v>
      </c>
      <c r="F70" s="1">
        <v>250000</v>
      </c>
      <c r="G70" s="17">
        <f t="shared" si="1"/>
        <v>3250000</v>
      </c>
      <c r="H70" s="1" t="s">
        <v>40</v>
      </c>
      <c r="I70" s="1" t="s">
        <v>30</v>
      </c>
    </row>
    <row r="71" spans="1:9" x14ac:dyDescent="0.25">
      <c r="A71" s="8">
        <v>45668</v>
      </c>
      <c r="B71" s="3" t="s">
        <v>12</v>
      </c>
      <c r="C71" s="3" t="s">
        <v>36</v>
      </c>
      <c r="D71" s="3" t="s">
        <v>26</v>
      </c>
      <c r="E71" s="1">
        <v>11</v>
      </c>
      <c r="F71" s="1">
        <v>65000</v>
      </c>
      <c r="G71" s="17">
        <f t="shared" si="1"/>
        <v>715000</v>
      </c>
      <c r="H71" s="1" t="s">
        <v>20</v>
      </c>
      <c r="I71" s="1" t="s">
        <v>46</v>
      </c>
    </row>
    <row r="72" spans="1:9" x14ac:dyDescent="0.25">
      <c r="A72" s="8">
        <v>45825</v>
      </c>
      <c r="B72" s="3" t="s">
        <v>8</v>
      </c>
      <c r="C72" s="3" t="s">
        <v>38</v>
      </c>
      <c r="D72" s="3" t="s">
        <v>24</v>
      </c>
      <c r="E72" s="1">
        <v>17</v>
      </c>
      <c r="F72" s="1">
        <v>3500</v>
      </c>
      <c r="G72" s="17">
        <f t="shared" si="1"/>
        <v>59500</v>
      </c>
      <c r="H72" s="1" t="s">
        <v>20</v>
      </c>
      <c r="I72" s="1" t="s">
        <v>16</v>
      </c>
    </row>
    <row r="73" spans="1:9" x14ac:dyDescent="0.25">
      <c r="A73" s="8">
        <v>45671</v>
      </c>
      <c r="B73" s="3" t="s">
        <v>12</v>
      </c>
      <c r="C73" s="3" t="s">
        <v>36</v>
      </c>
      <c r="D73" s="3" t="s">
        <v>26</v>
      </c>
      <c r="E73" s="1">
        <v>18</v>
      </c>
      <c r="F73" s="1">
        <v>65000</v>
      </c>
      <c r="G73" s="17">
        <f t="shared" si="1"/>
        <v>1170000</v>
      </c>
      <c r="H73" s="1" t="s">
        <v>20</v>
      </c>
      <c r="I73" s="1" t="s">
        <v>28</v>
      </c>
    </row>
    <row r="74" spans="1:9" x14ac:dyDescent="0.25">
      <c r="A74" s="8">
        <v>45806</v>
      </c>
      <c r="B74" s="3" t="s">
        <v>17</v>
      </c>
      <c r="C74" s="3" t="s">
        <v>39</v>
      </c>
      <c r="D74" s="3" t="s">
        <v>11</v>
      </c>
      <c r="E74" s="1">
        <v>13</v>
      </c>
      <c r="F74" s="1">
        <v>180000</v>
      </c>
      <c r="G74" s="17">
        <f t="shared" si="1"/>
        <v>2340000</v>
      </c>
      <c r="H74" s="1" t="s">
        <v>40</v>
      </c>
      <c r="I74" s="1" t="s">
        <v>48</v>
      </c>
    </row>
    <row r="75" spans="1:9" x14ac:dyDescent="0.25">
      <c r="A75" s="8">
        <v>45731</v>
      </c>
      <c r="B75" s="3" t="s">
        <v>8</v>
      </c>
      <c r="C75" s="3" t="s">
        <v>35</v>
      </c>
      <c r="D75" s="3" t="s">
        <v>19</v>
      </c>
      <c r="E75" s="1">
        <v>10</v>
      </c>
      <c r="F75" s="1">
        <v>175000</v>
      </c>
      <c r="G75" s="17">
        <f t="shared" si="1"/>
        <v>1750000</v>
      </c>
      <c r="H75" s="1" t="s">
        <v>15</v>
      </c>
      <c r="I75" s="1" t="s">
        <v>44</v>
      </c>
    </row>
    <row r="76" spans="1:9" x14ac:dyDescent="0.25">
      <c r="A76" s="8">
        <v>45742</v>
      </c>
      <c r="B76" s="3" t="s">
        <v>17</v>
      </c>
      <c r="C76" s="3" t="s">
        <v>37</v>
      </c>
      <c r="D76" s="3" t="s">
        <v>27</v>
      </c>
      <c r="E76" s="1">
        <v>5</v>
      </c>
      <c r="F76" s="1">
        <v>85000</v>
      </c>
      <c r="G76" s="17">
        <f t="shared" si="1"/>
        <v>425000</v>
      </c>
      <c r="H76" s="1" t="s">
        <v>40</v>
      </c>
      <c r="I76" s="1" t="s">
        <v>41</v>
      </c>
    </row>
    <row r="77" spans="1:9" x14ac:dyDescent="0.25">
      <c r="A77" s="8">
        <v>45669</v>
      </c>
      <c r="B77" s="3" t="s">
        <v>14</v>
      </c>
      <c r="C77" s="3" t="s">
        <v>38</v>
      </c>
      <c r="D77" s="3" t="s">
        <v>24</v>
      </c>
      <c r="E77" s="1">
        <v>17</v>
      </c>
      <c r="F77" s="1">
        <v>350000</v>
      </c>
      <c r="G77" s="17">
        <f t="shared" si="1"/>
        <v>5950000</v>
      </c>
      <c r="H77" s="1" t="s">
        <v>31</v>
      </c>
      <c r="I77" s="1" t="s">
        <v>43</v>
      </c>
    </row>
    <row r="78" spans="1:9" x14ac:dyDescent="0.25">
      <c r="A78" s="8">
        <v>45680</v>
      </c>
      <c r="B78" s="3" t="s">
        <v>14</v>
      </c>
      <c r="C78" s="3" t="s">
        <v>38</v>
      </c>
      <c r="D78" s="3" t="s">
        <v>24</v>
      </c>
      <c r="E78" s="1">
        <v>13</v>
      </c>
      <c r="F78" s="1">
        <v>350000</v>
      </c>
      <c r="G78" s="17">
        <f t="shared" si="1"/>
        <v>4550000</v>
      </c>
      <c r="H78" s="1" t="s">
        <v>29</v>
      </c>
      <c r="I78" s="1" t="s">
        <v>43</v>
      </c>
    </row>
    <row r="79" spans="1:9" x14ac:dyDescent="0.25">
      <c r="A79" s="8">
        <v>45782</v>
      </c>
      <c r="B79" s="3" t="s">
        <v>14</v>
      </c>
      <c r="C79" s="3" t="s">
        <v>38</v>
      </c>
      <c r="D79" s="3" t="s">
        <v>24</v>
      </c>
      <c r="E79" s="1">
        <v>8</v>
      </c>
      <c r="F79" s="1">
        <v>350000</v>
      </c>
      <c r="G79" s="17">
        <f t="shared" si="1"/>
        <v>2800000</v>
      </c>
      <c r="H79" s="1" t="s">
        <v>9</v>
      </c>
      <c r="I79" s="1" t="s">
        <v>23</v>
      </c>
    </row>
    <row r="80" spans="1:9" x14ac:dyDescent="0.25">
      <c r="A80" s="8">
        <v>45796</v>
      </c>
      <c r="B80" s="3" t="s">
        <v>8</v>
      </c>
      <c r="C80" s="3" t="s">
        <v>37</v>
      </c>
      <c r="D80" s="3" t="s">
        <v>27</v>
      </c>
      <c r="E80" s="1">
        <v>13</v>
      </c>
      <c r="F80" s="1">
        <v>85000</v>
      </c>
      <c r="G80" s="17">
        <f t="shared" si="1"/>
        <v>1105000</v>
      </c>
      <c r="H80" s="1" t="s">
        <v>15</v>
      </c>
      <c r="I80" s="1" t="s">
        <v>23</v>
      </c>
    </row>
    <row r="81" spans="1:9" x14ac:dyDescent="0.25">
      <c r="A81" s="8">
        <v>45751</v>
      </c>
      <c r="B81" s="3" t="s">
        <v>17</v>
      </c>
      <c r="C81" s="3" t="s">
        <v>18</v>
      </c>
      <c r="D81" s="3" t="s">
        <v>11</v>
      </c>
      <c r="E81" s="1">
        <v>17</v>
      </c>
      <c r="F81" s="1">
        <v>150000</v>
      </c>
      <c r="G81" s="17">
        <f t="shared" si="1"/>
        <v>2550000</v>
      </c>
      <c r="H81" s="1" t="s">
        <v>29</v>
      </c>
      <c r="I81" s="1" t="s">
        <v>10</v>
      </c>
    </row>
    <row r="82" spans="1:9" x14ac:dyDescent="0.25">
      <c r="A82" s="8">
        <v>45714</v>
      </c>
      <c r="B82" s="3" t="s">
        <v>8</v>
      </c>
      <c r="C82" s="3" t="s">
        <v>36</v>
      </c>
      <c r="D82" s="3" t="s">
        <v>26</v>
      </c>
      <c r="E82" s="1">
        <v>19</v>
      </c>
      <c r="F82" s="1">
        <v>65000</v>
      </c>
      <c r="G82" s="17">
        <f t="shared" si="1"/>
        <v>1235000</v>
      </c>
      <c r="H82" s="1" t="s">
        <v>40</v>
      </c>
      <c r="I82" s="1" t="s">
        <v>28</v>
      </c>
    </row>
    <row r="83" spans="1:9" x14ac:dyDescent="0.25">
      <c r="A83" s="8">
        <v>45811</v>
      </c>
      <c r="B83" s="3" t="s">
        <v>14</v>
      </c>
      <c r="C83" s="3" t="s">
        <v>18</v>
      </c>
      <c r="D83" s="3" t="s">
        <v>11</v>
      </c>
      <c r="E83" s="1">
        <v>1</v>
      </c>
      <c r="F83" s="1">
        <v>150000</v>
      </c>
      <c r="G83" s="17">
        <f t="shared" si="1"/>
        <v>150000</v>
      </c>
      <c r="H83" s="1" t="s">
        <v>40</v>
      </c>
      <c r="I83" s="1" t="s">
        <v>41</v>
      </c>
    </row>
    <row r="84" spans="1:9" x14ac:dyDescent="0.25">
      <c r="A84" s="8">
        <v>45752</v>
      </c>
      <c r="B84" s="3" t="s">
        <v>17</v>
      </c>
      <c r="C84" s="3" t="s">
        <v>21</v>
      </c>
      <c r="D84" s="3" t="s">
        <v>22</v>
      </c>
      <c r="E84" s="1">
        <v>13</v>
      </c>
      <c r="F84" s="1">
        <v>250000</v>
      </c>
      <c r="G84" s="17">
        <f t="shared" si="1"/>
        <v>3250000</v>
      </c>
      <c r="H84" s="1" t="s">
        <v>20</v>
      </c>
      <c r="I84" s="1" t="s">
        <v>23</v>
      </c>
    </row>
    <row r="85" spans="1:9" x14ac:dyDescent="0.25">
      <c r="A85" s="8">
        <v>45687</v>
      </c>
      <c r="B85" s="3" t="s">
        <v>17</v>
      </c>
      <c r="C85" s="3" t="s">
        <v>36</v>
      </c>
      <c r="D85" s="3" t="s">
        <v>26</v>
      </c>
      <c r="E85" s="1">
        <v>18</v>
      </c>
      <c r="F85" s="1">
        <v>65000</v>
      </c>
      <c r="G85" s="17">
        <f t="shared" si="1"/>
        <v>1170000</v>
      </c>
      <c r="H85" s="1" t="s">
        <v>20</v>
      </c>
      <c r="I85" s="1" t="s">
        <v>47</v>
      </c>
    </row>
    <row r="86" spans="1:9" x14ac:dyDescent="0.25">
      <c r="A86" s="8">
        <v>45688</v>
      </c>
      <c r="B86" s="3" t="s">
        <v>14</v>
      </c>
      <c r="C86" s="3" t="s">
        <v>21</v>
      </c>
      <c r="D86" s="3" t="s">
        <v>22</v>
      </c>
      <c r="E86" s="1">
        <v>20</v>
      </c>
      <c r="F86" s="1">
        <v>250000</v>
      </c>
      <c r="G86" s="17">
        <f t="shared" si="1"/>
        <v>5000000</v>
      </c>
      <c r="H86" s="1" t="s">
        <v>15</v>
      </c>
      <c r="I86" s="1" t="s">
        <v>16</v>
      </c>
    </row>
    <row r="87" spans="1:9" x14ac:dyDescent="0.25">
      <c r="A87" s="8">
        <v>45804</v>
      </c>
      <c r="B87" s="3" t="s">
        <v>17</v>
      </c>
      <c r="C87" s="3" t="s">
        <v>39</v>
      </c>
      <c r="D87" s="3" t="s">
        <v>11</v>
      </c>
      <c r="E87" s="1">
        <v>4</v>
      </c>
      <c r="F87" s="1">
        <v>180000</v>
      </c>
      <c r="G87" s="17">
        <f t="shared" si="1"/>
        <v>720000</v>
      </c>
      <c r="H87" s="1" t="s">
        <v>15</v>
      </c>
      <c r="I87" s="1" t="s">
        <v>10</v>
      </c>
    </row>
    <row r="88" spans="1:9" x14ac:dyDescent="0.25">
      <c r="A88" s="8">
        <v>45755</v>
      </c>
      <c r="B88" s="3" t="s">
        <v>8</v>
      </c>
      <c r="C88" s="3" t="s">
        <v>18</v>
      </c>
      <c r="D88" s="3" t="s">
        <v>11</v>
      </c>
      <c r="E88" s="1">
        <v>5</v>
      </c>
      <c r="F88" s="1">
        <v>150000</v>
      </c>
      <c r="G88" s="17">
        <f t="shared" si="1"/>
        <v>750000</v>
      </c>
      <c r="H88" s="1" t="s">
        <v>20</v>
      </c>
      <c r="I88" s="1" t="s">
        <v>13</v>
      </c>
    </row>
    <row r="89" spans="1:9" x14ac:dyDescent="0.25">
      <c r="A89" s="8">
        <v>45701</v>
      </c>
      <c r="B89" s="3" t="s">
        <v>12</v>
      </c>
      <c r="C89" s="3" t="s">
        <v>21</v>
      </c>
      <c r="D89" s="3" t="s">
        <v>22</v>
      </c>
      <c r="E89" s="1">
        <v>11</v>
      </c>
      <c r="F89" s="1">
        <v>2500000</v>
      </c>
      <c r="G89" s="17">
        <f t="shared" si="1"/>
        <v>27500000</v>
      </c>
      <c r="H89" s="1" t="s">
        <v>29</v>
      </c>
      <c r="I89" s="1" t="s">
        <v>16</v>
      </c>
    </row>
    <row r="90" spans="1:9" x14ac:dyDescent="0.25">
      <c r="A90" s="8">
        <v>45725</v>
      </c>
      <c r="B90" s="3" t="s">
        <v>17</v>
      </c>
      <c r="C90" s="3" t="s">
        <v>21</v>
      </c>
      <c r="D90" s="3" t="s">
        <v>22</v>
      </c>
      <c r="E90" s="1">
        <v>20</v>
      </c>
      <c r="F90" s="1">
        <v>250000</v>
      </c>
      <c r="G90" s="17">
        <f t="shared" si="1"/>
        <v>5000000</v>
      </c>
      <c r="H90" s="1" t="s">
        <v>9</v>
      </c>
      <c r="I90" s="1" t="s">
        <v>28</v>
      </c>
    </row>
    <row r="91" spans="1:9" x14ac:dyDescent="0.25">
      <c r="A91" s="8">
        <v>45708</v>
      </c>
      <c r="B91" s="3" t="s">
        <v>12</v>
      </c>
      <c r="C91" s="3" t="s">
        <v>37</v>
      </c>
      <c r="D91" s="3" t="s">
        <v>27</v>
      </c>
      <c r="E91" s="1">
        <v>7</v>
      </c>
      <c r="F91" s="1">
        <v>89233</v>
      </c>
      <c r="G91" s="17">
        <f t="shared" si="1"/>
        <v>624631</v>
      </c>
      <c r="H91" s="1" t="s">
        <v>29</v>
      </c>
      <c r="I91" s="1" t="s">
        <v>28</v>
      </c>
    </row>
    <row r="92" spans="1:9" x14ac:dyDescent="0.25">
      <c r="A92" s="8">
        <v>45707</v>
      </c>
      <c r="B92" s="3" t="s">
        <v>17</v>
      </c>
      <c r="C92" s="3" t="s">
        <v>21</v>
      </c>
      <c r="D92" s="3" t="s">
        <v>22</v>
      </c>
      <c r="E92" s="1">
        <v>5</v>
      </c>
      <c r="F92" s="1">
        <v>250000</v>
      </c>
      <c r="G92" s="17">
        <f t="shared" si="1"/>
        <v>1250000</v>
      </c>
      <c r="H92" s="1" t="s">
        <v>31</v>
      </c>
      <c r="I92" s="1" t="s">
        <v>47</v>
      </c>
    </row>
    <row r="93" spans="1:9" x14ac:dyDescent="0.25">
      <c r="A93" s="8">
        <v>45757</v>
      </c>
      <c r="B93" s="3" t="s">
        <v>17</v>
      </c>
      <c r="C93" s="3" t="s">
        <v>35</v>
      </c>
      <c r="D93" s="3" t="s">
        <v>19</v>
      </c>
      <c r="E93" s="1">
        <v>19</v>
      </c>
      <c r="F93" s="1">
        <v>175000</v>
      </c>
      <c r="G93" s="17">
        <f t="shared" si="1"/>
        <v>3325000</v>
      </c>
      <c r="H93" s="1" t="s">
        <v>31</v>
      </c>
      <c r="I93" s="1" t="s">
        <v>45</v>
      </c>
    </row>
    <row r="94" spans="1:9" x14ac:dyDescent="0.25">
      <c r="A94" s="8">
        <v>45798</v>
      </c>
      <c r="B94" s="3" t="s">
        <v>17</v>
      </c>
      <c r="C94" s="3" t="s">
        <v>38</v>
      </c>
      <c r="D94" s="3" t="s">
        <v>24</v>
      </c>
      <c r="E94" s="1">
        <v>14</v>
      </c>
      <c r="F94" s="1">
        <v>350000</v>
      </c>
      <c r="G94" s="17">
        <f t="shared" si="1"/>
        <v>4900000</v>
      </c>
      <c r="H94" s="1" t="s">
        <v>40</v>
      </c>
      <c r="I94" s="1" t="s">
        <v>10</v>
      </c>
    </row>
    <row r="95" spans="1:9" x14ac:dyDescent="0.25">
      <c r="A95" s="8">
        <v>45834</v>
      </c>
      <c r="B95" s="3" t="s">
        <v>17</v>
      </c>
      <c r="C95" s="3" t="s">
        <v>35</v>
      </c>
      <c r="D95" s="3" t="s">
        <v>19</v>
      </c>
      <c r="E95" s="1">
        <v>20</v>
      </c>
      <c r="F95" s="1">
        <v>175000</v>
      </c>
      <c r="G95" s="17">
        <f t="shared" si="1"/>
        <v>3500000</v>
      </c>
      <c r="H95" s="1" t="s">
        <v>31</v>
      </c>
      <c r="I95" s="1" t="s">
        <v>42</v>
      </c>
    </row>
    <row r="96" spans="1:9" x14ac:dyDescent="0.25">
      <c r="A96" s="8">
        <v>45708</v>
      </c>
      <c r="B96" s="3" t="s">
        <v>8</v>
      </c>
      <c r="C96" s="3" t="s">
        <v>37</v>
      </c>
      <c r="D96" s="3" t="s">
        <v>27</v>
      </c>
      <c r="E96" s="1">
        <v>18</v>
      </c>
      <c r="F96" s="1">
        <v>85000</v>
      </c>
      <c r="G96" s="17">
        <f t="shared" si="1"/>
        <v>1530000</v>
      </c>
      <c r="H96" s="1" t="s">
        <v>25</v>
      </c>
      <c r="I96" s="1" t="s">
        <v>46</v>
      </c>
    </row>
    <row r="97" spans="1:9" x14ac:dyDescent="0.25">
      <c r="A97" s="8">
        <v>45835</v>
      </c>
      <c r="B97" s="3" t="s">
        <v>14</v>
      </c>
      <c r="C97" s="3" t="s">
        <v>35</v>
      </c>
      <c r="D97" s="3" t="s">
        <v>19</v>
      </c>
      <c r="E97" s="1">
        <v>17</v>
      </c>
      <c r="F97" s="1">
        <v>175000</v>
      </c>
      <c r="G97" s="17">
        <f t="shared" si="1"/>
        <v>2975000</v>
      </c>
      <c r="H97" s="1" t="s">
        <v>9</v>
      </c>
      <c r="I97" s="1" t="s">
        <v>43</v>
      </c>
    </row>
    <row r="98" spans="1:9" x14ac:dyDescent="0.25">
      <c r="A98" s="8">
        <v>45693</v>
      </c>
      <c r="B98" s="3" t="s">
        <v>8</v>
      </c>
      <c r="C98" s="3" t="s">
        <v>21</v>
      </c>
      <c r="D98" s="3" t="s">
        <v>22</v>
      </c>
      <c r="E98" s="1">
        <v>20</v>
      </c>
      <c r="F98" s="1">
        <v>250000</v>
      </c>
      <c r="G98" s="17">
        <f t="shared" si="1"/>
        <v>5000000</v>
      </c>
      <c r="H98" s="1" t="s">
        <v>29</v>
      </c>
      <c r="I98" s="1" t="s">
        <v>10</v>
      </c>
    </row>
    <row r="99" spans="1:9" x14ac:dyDescent="0.25">
      <c r="A99" s="8">
        <v>45815</v>
      </c>
      <c r="B99" s="3" t="s">
        <v>8</v>
      </c>
      <c r="C99" s="3" t="s">
        <v>38</v>
      </c>
      <c r="D99" s="3" t="s">
        <v>24</v>
      </c>
      <c r="E99" s="1">
        <v>20</v>
      </c>
      <c r="F99" s="1">
        <v>350000</v>
      </c>
      <c r="G99" s="17">
        <f t="shared" si="1"/>
        <v>7000000</v>
      </c>
      <c r="H99" s="1" t="s">
        <v>25</v>
      </c>
      <c r="I99" s="1" t="s">
        <v>28</v>
      </c>
    </row>
    <row r="100" spans="1:9" x14ac:dyDescent="0.25">
      <c r="A100" s="8">
        <v>45790</v>
      </c>
      <c r="B100" s="3" t="s">
        <v>12</v>
      </c>
      <c r="C100" s="3" t="s">
        <v>18</v>
      </c>
      <c r="D100" s="3" t="s">
        <v>11</v>
      </c>
      <c r="E100" s="1">
        <v>18</v>
      </c>
      <c r="F100" s="1">
        <v>150000</v>
      </c>
      <c r="G100" s="17">
        <f t="shared" si="1"/>
        <v>2700000</v>
      </c>
      <c r="H100" s="1" t="s">
        <v>40</v>
      </c>
      <c r="I100" s="1" t="s">
        <v>13</v>
      </c>
    </row>
  </sheetData>
  <autoFilter ref="A1:I100"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961C-C483-4FCB-9005-458B030475BD}">
  <dimension ref="A2:N13"/>
  <sheetViews>
    <sheetView zoomScale="95" zoomScaleNormal="95" workbookViewId="0">
      <selection activeCell="A13" sqref="A13"/>
    </sheetView>
  </sheetViews>
  <sheetFormatPr defaultRowHeight="15" x14ac:dyDescent="0.25"/>
  <cols>
    <col min="1" max="1" width="17" bestFit="1" customWidth="1"/>
    <col min="2" max="2" width="17.28515625" bestFit="1" customWidth="1"/>
    <col min="3" max="3" width="10.42578125" bestFit="1" customWidth="1"/>
    <col min="4" max="4" width="12.28515625" bestFit="1" customWidth="1"/>
    <col min="5" max="5" width="17.28515625" bestFit="1" customWidth="1"/>
    <col min="7" max="7" width="12.28515625" bestFit="1" customWidth="1"/>
    <col min="8" max="8" width="16.7109375" bestFit="1" customWidth="1"/>
    <col min="10" max="10" width="11.28515625" bestFit="1" customWidth="1"/>
    <col min="11" max="11" width="17.28515625" bestFit="1" customWidth="1"/>
    <col min="13" max="13" width="15.140625" bestFit="1" customWidth="1"/>
    <col min="14" max="14" width="17.28515625" bestFit="1" customWidth="1"/>
  </cols>
  <sheetData>
    <row r="2" spans="1:14" x14ac:dyDescent="0.25">
      <c r="A2" s="12" t="s">
        <v>50</v>
      </c>
      <c r="B2" t="s">
        <v>52</v>
      </c>
      <c r="D2" s="12" t="s">
        <v>50</v>
      </c>
      <c r="E2" t="s">
        <v>52</v>
      </c>
      <c r="G2" s="12" t="s">
        <v>50</v>
      </c>
      <c r="H2" t="s">
        <v>53</v>
      </c>
      <c r="J2" s="12" t="s">
        <v>50</v>
      </c>
      <c r="K2" t="s">
        <v>52</v>
      </c>
      <c r="M2" s="12" t="s">
        <v>50</v>
      </c>
      <c r="N2" t="s">
        <v>52</v>
      </c>
    </row>
    <row r="3" spans="1:14" x14ac:dyDescent="0.25">
      <c r="A3" s="13" t="s">
        <v>17</v>
      </c>
      <c r="B3" s="15">
        <v>0.26112764228122765</v>
      </c>
      <c r="D3" s="13" t="s">
        <v>36</v>
      </c>
      <c r="E3" s="15">
        <v>7.616360391367584E-2</v>
      </c>
      <c r="G3" s="13" t="s">
        <v>27</v>
      </c>
      <c r="H3" s="15">
        <v>9.2838196286472149E-2</v>
      </c>
      <c r="J3" s="13" t="s">
        <v>54</v>
      </c>
      <c r="K3" s="15">
        <v>0.18939433738211392</v>
      </c>
      <c r="M3" s="13" t="s">
        <v>15</v>
      </c>
      <c r="N3" s="10">
        <v>18690000</v>
      </c>
    </row>
    <row r="4" spans="1:14" x14ac:dyDescent="0.25">
      <c r="A4" s="13" t="s">
        <v>14</v>
      </c>
      <c r="B4" s="15">
        <v>0.13074840849239552</v>
      </c>
      <c r="D4" s="13" t="s">
        <v>35</v>
      </c>
      <c r="E4" s="15">
        <v>9.166093528716085E-2</v>
      </c>
      <c r="G4" s="13" t="s">
        <v>22</v>
      </c>
      <c r="H4" s="15">
        <v>0.16887709991158267</v>
      </c>
      <c r="J4" s="13" t="s">
        <v>55</v>
      </c>
      <c r="K4" s="15">
        <v>0.41149689727471017</v>
      </c>
      <c r="M4" s="13" t="s">
        <v>20</v>
      </c>
      <c r="N4" s="10">
        <v>36226885</v>
      </c>
    </row>
    <row r="5" spans="1:14" x14ac:dyDescent="0.25">
      <c r="A5" s="13" t="s">
        <v>8</v>
      </c>
      <c r="B5" s="15">
        <v>0.22557149826402434</v>
      </c>
      <c r="D5" s="13" t="s">
        <v>18</v>
      </c>
      <c r="E5" s="15">
        <v>0.12161666169216254</v>
      </c>
      <c r="G5" s="13" t="s">
        <v>24</v>
      </c>
      <c r="H5" s="15">
        <v>0.1900972590627763</v>
      </c>
      <c r="J5" s="13" t="s">
        <v>56</v>
      </c>
      <c r="K5" s="15">
        <v>6.247714530897705E-2</v>
      </c>
      <c r="M5" s="13" t="s">
        <v>29</v>
      </c>
      <c r="N5" s="10">
        <v>58707487</v>
      </c>
    </row>
    <row r="6" spans="1:14" x14ac:dyDescent="0.25">
      <c r="A6" s="13" t="s">
        <v>12</v>
      </c>
      <c r="B6" s="15">
        <v>0.38255245096235246</v>
      </c>
      <c r="D6" s="13" t="s">
        <v>38</v>
      </c>
      <c r="E6" s="15">
        <v>0.22848685471513233</v>
      </c>
      <c r="G6" s="13" t="s">
        <v>11</v>
      </c>
      <c r="H6" s="15">
        <v>0.27232537577365162</v>
      </c>
      <c r="J6" s="13" t="s">
        <v>57</v>
      </c>
      <c r="K6" s="15">
        <v>8.0438910719745488E-2</v>
      </c>
      <c r="M6" s="13" t="s">
        <v>40</v>
      </c>
      <c r="N6" s="10">
        <v>42610000</v>
      </c>
    </row>
    <row r="7" spans="1:14" x14ac:dyDescent="0.25">
      <c r="A7" s="13" t="s">
        <v>51</v>
      </c>
      <c r="B7" s="15">
        <v>1</v>
      </c>
      <c r="D7" s="13" t="s">
        <v>21</v>
      </c>
      <c r="E7" s="15">
        <v>0.48207194439186846</v>
      </c>
      <c r="G7" s="13" t="s">
        <v>26</v>
      </c>
      <c r="H7" s="15">
        <v>0.14677276746242263</v>
      </c>
      <c r="J7" s="13" t="s">
        <v>58</v>
      </c>
      <c r="K7" s="15">
        <v>0.10547318499630062</v>
      </c>
      <c r="M7" s="13" t="s">
        <v>9</v>
      </c>
      <c r="N7" s="10">
        <v>28986113</v>
      </c>
    </row>
    <row r="8" spans="1:14" x14ac:dyDescent="0.25">
      <c r="D8" s="13" t="s">
        <v>51</v>
      </c>
      <c r="E8" s="15">
        <v>1</v>
      </c>
      <c r="G8" s="13" t="s">
        <v>19</v>
      </c>
      <c r="H8" s="15">
        <v>0.12908930150309461</v>
      </c>
      <c r="J8" s="13" t="s">
        <v>59</v>
      </c>
      <c r="K8" s="15">
        <v>0.15071952431815275</v>
      </c>
      <c r="M8" s="13" t="s">
        <v>34</v>
      </c>
      <c r="N8" s="10">
        <v>5250000</v>
      </c>
    </row>
    <row r="9" spans="1:14" x14ac:dyDescent="0.25">
      <c r="G9" s="13" t="s">
        <v>51</v>
      </c>
      <c r="H9" s="15">
        <v>1</v>
      </c>
      <c r="J9" s="13" t="s">
        <v>51</v>
      </c>
      <c r="K9" s="15">
        <v>1</v>
      </c>
      <c r="M9" s="13" t="s">
        <v>31</v>
      </c>
      <c r="N9" s="10">
        <v>20919960</v>
      </c>
    </row>
    <row r="10" spans="1:14" x14ac:dyDescent="0.25">
      <c r="M10" s="13" t="s">
        <v>25</v>
      </c>
      <c r="N10" s="10">
        <v>87790000</v>
      </c>
    </row>
    <row r="11" spans="1:14" x14ac:dyDescent="0.25">
      <c r="M11" s="13" t="s">
        <v>33</v>
      </c>
      <c r="N11" s="10">
        <v>2850000</v>
      </c>
    </row>
    <row r="12" spans="1:14" x14ac:dyDescent="0.25">
      <c r="M12" s="13" t="s">
        <v>51</v>
      </c>
      <c r="N12" s="10">
        <v>302030445</v>
      </c>
    </row>
    <row r="13" spans="1:14" ht="15.75" x14ac:dyDescent="0.25">
      <c r="A13" s="20">
        <f>SUM('Raw Data'!G:G)</f>
        <v>302030445</v>
      </c>
      <c r="C13" s="18">
        <f>SUM('Raw Data'!E:E)</f>
        <v>1131</v>
      </c>
      <c r="E13" s="19">
        <f>AVERAGE('Raw Data'!G:G)</f>
        <v>3050812.5757575757</v>
      </c>
      <c r="G13" s="11">
        <f>COUNT('Raw Data'!A:A)</f>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C84B-E442-43E2-BA85-04B86EE19A04}">
  <dimension ref="A1"/>
  <sheetViews>
    <sheetView showGridLines="0" tabSelected="1" topLeftCell="C1" zoomScale="85" zoomScaleNormal="85" workbookViewId="0">
      <selection activeCell="Z11" sqref="Z11"/>
    </sheetView>
  </sheetViews>
  <sheetFormatPr defaultRowHeight="15" x14ac:dyDescent="0.25"/>
  <cols>
    <col min="1" max="16384" width="9.140625" style="14"/>
  </cols>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Raw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Emmanuel Anowai</cp:lastModifiedBy>
  <dcterms:created xsi:type="dcterms:W3CDTF">2025-10-20T20:05:08Z</dcterms:created>
  <dcterms:modified xsi:type="dcterms:W3CDTF">2026-01-12T04:37:08Z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